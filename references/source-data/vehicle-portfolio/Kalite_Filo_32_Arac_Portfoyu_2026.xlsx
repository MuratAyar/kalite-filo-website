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urat\Downloads\"/>
    </mc:Choice>
  </mc:AlternateContent>
  <xr:revisionPtr revIDLastSave="0" documentId="8_{09A05D9F-6E83-4861-AE4D-4F23614765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Özet" sheetId="1" r:id="rId1"/>
    <sheet name="Portföy_32" sheetId="2" r:id="rId2"/>
    <sheet name="Teknik_Detay" sheetId="3" r:id="rId3"/>
    <sheet name="Benchmark" sheetId="4" r:id="rId4"/>
    <sheet name="Benchmark_Ham" sheetId="5" r:id="rId5"/>
    <sheet name="Görseller" sheetId="6" r:id="rId6"/>
    <sheet name="İlan_Metinleri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6" l="1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AC36" i="2"/>
  <c r="V36" i="2"/>
  <c r="S36" i="2"/>
  <c r="AC35" i="2"/>
  <c r="V35" i="2"/>
  <c r="S35" i="2"/>
  <c r="AC34" i="2"/>
  <c r="V34" i="2"/>
  <c r="S34" i="2"/>
  <c r="AC33" i="2"/>
  <c r="V33" i="2"/>
  <c r="S33" i="2"/>
  <c r="AC32" i="2"/>
  <c r="V32" i="2"/>
  <c r="S32" i="2"/>
  <c r="AC31" i="2"/>
  <c r="V31" i="2"/>
  <c r="S31" i="2"/>
  <c r="AC30" i="2"/>
  <c r="V30" i="2"/>
  <c r="S30" i="2"/>
  <c r="AC29" i="2"/>
  <c r="V29" i="2"/>
  <c r="S29" i="2"/>
  <c r="AC28" i="2"/>
  <c r="V28" i="2"/>
  <c r="S28" i="2"/>
  <c r="AC27" i="2"/>
  <c r="V27" i="2"/>
  <c r="S27" i="2"/>
  <c r="AC26" i="2"/>
  <c r="V26" i="2"/>
  <c r="S26" i="2"/>
  <c r="AC25" i="2"/>
  <c r="V25" i="2"/>
  <c r="S25" i="2"/>
  <c r="AC24" i="2"/>
  <c r="V24" i="2"/>
  <c r="S24" i="2"/>
  <c r="AC23" i="2"/>
  <c r="V23" i="2"/>
  <c r="S23" i="2"/>
  <c r="AC22" i="2"/>
  <c r="V22" i="2"/>
  <c r="S22" i="2"/>
  <c r="AC21" i="2"/>
  <c r="V21" i="2"/>
  <c r="S21" i="2"/>
  <c r="AC20" i="2"/>
  <c r="V20" i="2"/>
  <c r="S20" i="2"/>
  <c r="AC19" i="2"/>
  <c r="V19" i="2"/>
  <c r="S19" i="2"/>
  <c r="AC18" i="2"/>
  <c r="V18" i="2"/>
  <c r="S18" i="2"/>
  <c r="AC17" i="2"/>
  <c r="V17" i="2"/>
  <c r="S17" i="2"/>
  <c r="AC16" i="2"/>
  <c r="V16" i="2"/>
  <c r="S16" i="2"/>
  <c r="AC15" i="2"/>
  <c r="V15" i="2"/>
  <c r="S15" i="2"/>
  <c r="AC14" i="2"/>
  <c r="V14" i="2"/>
  <c r="S14" i="2"/>
  <c r="AC13" i="2"/>
  <c r="V13" i="2"/>
  <c r="S13" i="2"/>
  <c r="AC12" i="2"/>
  <c r="V12" i="2"/>
  <c r="S12" i="2"/>
  <c r="AC11" i="2"/>
  <c r="V11" i="2"/>
  <c r="S11" i="2"/>
  <c r="AC10" i="2"/>
  <c r="V10" i="2"/>
  <c r="S10" i="2"/>
  <c r="AC9" i="2"/>
  <c r="V9" i="2"/>
  <c r="S9" i="2"/>
  <c r="AC8" i="2"/>
  <c r="V8" i="2"/>
  <c r="S8" i="2"/>
  <c r="AC7" i="2"/>
  <c r="V7" i="2"/>
  <c r="S7" i="2"/>
  <c r="AC6" i="2"/>
  <c r="V6" i="2"/>
  <c r="S6" i="2"/>
  <c r="AC5" i="2"/>
  <c r="V5" i="2"/>
  <c r="S5" i="2"/>
</calcChain>
</file>

<file path=xl/sharedStrings.xml><?xml version="1.0" encoding="utf-8"?>
<sst xmlns="http://schemas.openxmlformats.org/spreadsheetml/2006/main" count="3601" uniqueCount="1176">
  <si>
    <t>Kalite Filo | 32 Araçlık Kurumsal Portföy</t>
  </si>
  <si>
    <t>Kaynak benchmark taraması: 19.07.2026 | Portföy hazırlama: 13.08.2026 | Fiyatlar benchmark amaçlıdır; nihai Kalite Filo satış fiyatı ve görsel lisansı yayın öncesi onaylanmalıdır.</t>
  </si>
  <si>
    <t>Sınıf</t>
  </si>
  <si>
    <t>Adet</t>
  </si>
  <si>
    <t>Güç Aktarma</t>
  </si>
  <si>
    <t>Binek</t>
  </si>
  <si>
    <t>Benzin</t>
  </si>
  <si>
    <t>Toplam araç</t>
  </si>
  <si>
    <t>SUV</t>
  </si>
  <si>
    <t>Ticari</t>
  </si>
  <si>
    <t>Elektrikli</t>
  </si>
  <si>
    <t>Hybrid / mHEV</t>
  </si>
  <si>
    <t>Dizel</t>
  </si>
  <si>
    <t>Portföy kurgusu</t>
  </si>
  <si>
    <t>Elektrik</t>
  </si>
  <si>
    <t>Kapsam</t>
  </si>
  <si>
    <t>Türkiye kurumsal uzun dönem kiralama için ekonomik binek, sedan, SUV, elektrikli ve hafif ticari denge.</t>
  </si>
  <si>
    <t>Benchmark eşleşmesi</t>
  </si>
  <si>
    <t>32 seçili araç için yüklenen fiyat veritabanından 132 eşleşen kayıt kullanıldı.</t>
  </si>
  <si>
    <t>Benchmark merkez değeri</t>
  </si>
  <si>
    <t>Benchmark genel aralık</t>
  </si>
  <si>
    <t>27.360 – 149.236 TL/ay net</t>
  </si>
  <si>
    <t>Önerilen liste fiyatı</t>
  </si>
  <si>
    <t>Portföy_32 sayfasında benchmark medyanının %3 üzeri, 100 TL'ye yuvarlanmış bir çalışma fiyatı formülle hesaplanır. Nihai fiyat değildir.</t>
  </si>
  <si>
    <t>Standart teklif varsayımı</t>
  </si>
  <si>
    <t>36 ay / 30.000 km-yıl başlangıç şablonu. Müşteri, araç ve risk profiline göre değiştirilmelidir.</t>
  </si>
  <si>
    <t>Yayın öncesi kritik notlar</t>
  </si>
  <si>
    <t>• Görseller Wikimedia Commons dosya sayfalarından seçilmiştir. Her dosyanın lisans/atıf koşulu yayın öncesi tek tek kontrol edilmelidir.</t>
  </si>
  <si>
    <t>• IMAGE() önizlemeleri internet bağlantısı olan güncel Microsoft 365/Excel sürümünde yüklenir. Doğrudan görsel ve Commons kaynak URL'leri ayrıca saklanmıştır.</t>
  </si>
  <si>
    <t>• Teknik bilgiler resmi üretici/kurumsal kaynaklardan derlenmiştir; versiyon, model yılı, jant/trim, emisyon ve stok farklılıkları olabilir.</t>
  </si>
  <si>
    <t>• Tesla Model Y gibi konfigürasyona göre hızlı değişebilen araçlarda menzil/güç değerleri bilerek boş bırakılmış ve son gün teyit şartı eklenmiştir.</t>
  </si>
  <si>
    <t>Kalite Filo | Yayına Hazır 32 Araç Portföyü</t>
  </si>
  <si>
    <t>Nihai yayın fiyatı (T sütunu) kullanıcı onayı için boş bırakılmıştır. S sütunu yalnız benchmark medyan + %3 çalışma fiyatıdır. X/Y sütunlarındaki 36 ay / 30.000 km-yıl varsayımı şablondur.</t>
  </si>
  <si>
    <t>Portföy ID</t>
  </si>
  <si>
    <t>Yayın Durumu</t>
  </si>
  <si>
    <t>Öncelik</t>
  </si>
  <si>
    <t>Marka</t>
  </si>
  <si>
    <t>Model</t>
  </si>
  <si>
    <t>Versiyon</t>
  </si>
  <si>
    <t>Model Yılı</t>
  </si>
  <si>
    <t>Segment / Gövde</t>
  </si>
  <si>
    <t>Yakıt</t>
  </si>
  <si>
    <t>Vites</t>
  </si>
  <si>
    <t>Güç (HP)</t>
  </si>
  <si>
    <t>Koltuk</t>
  </si>
  <si>
    <t>Benchmark Kayıt</t>
  </si>
  <si>
    <t>Benchmark Min Net</t>
  </si>
  <si>
    <t>Benchmark Medyan Net</t>
  </si>
  <si>
    <t>Benchmark Ortalama Net</t>
  </si>
  <si>
    <t>Benchmark Max Net</t>
  </si>
  <si>
    <t>Önerilen Liste Net</t>
  </si>
  <si>
    <t>Nihai Yayın Net</t>
  </si>
  <si>
    <t>KDV Oranı</t>
  </si>
  <si>
    <t>KDV Dahil Nihai</t>
  </si>
  <si>
    <t>Fiyat Gösterimi</t>
  </si>
  <si>
    <t>Standart Süre (Ay)</t>
  </si>
  <si>
    <t>Yıllık KM</t>
  </si>
  <si>
    <t>İlan Başlığı</t>
  </si>
  <si>
    <t>URL Slug</t>
  </si>
  <si>
    <t>Hedef Kullanım</t>
  </si>
  <si>
    <t>Görsel Önizleme</t>
  </si>
  <si>
    <t>Görsel URL</t>
  </si>
  <si>
    <t>Teknik Kaynak URL</t>
  </si>
  <si>
    <t>Benchmark Birincil URL</t>
  </si>
  <si>
    <t>Veri Güveni</t>
  </si>
  <si>
    <t>Yayın Notu</t>
  </si>
  <si>
    <t>KF-001</t>
  </si>
  <si>
    <t>A</t>
  </si>
  <si>
    <t>Renault</t>
  </si>
  <si>
    <t>Clio</t>
  </si>
  <si>
    <t>Evolution 1.0 TCe X-Tronic 90</t>
  </si>
  <si>
    <t>2025/2026</t>
  </si>
  <si>
    <t>B Hatchback</t>
  </si>
  <si>
    <t>X-Tronic Otomatik</t>
  </si>
  <si>
    <t>Teklif Al</t>
  </si>
  <si>
    <t>Renault Clio Evolution 1.0 TCe X-Tronic 90 Uzun Dönem Kiralama</t>
  </si>
  <si>
    <t>renault-clio-evolution-1-0-tce-x-tronic-90</t>
  </si>
  <si>
    <t>Saha ekipleri, şehir içi operasyon ve ekonomik yönetici havuzu</t>
  </si>
  <si>
    <t>https://upload.wikimedia.org/wikipedia/commons/c/c6/Renault_Clio_V_(2023)_1X7A1577.jpg</t>
  </si>
  <si>
    <t>https://www.drd.com.tr/tr/araclar/renault/clio/evolution-1-0-tce-x-tronic-90/</t>
  </si>
  <si>
    <t>https://www.filoteknik.com.tr/markalar</t>
  </si>
  <si>
    <t>Yüksek</t>
  </si>
  <si>
    <t>DRD sayfasındaki Evolution 1.0 TCe X-Tronic 90 teknik verileri esas alındı.</t>
  </si>
  <si>
    <t>KF-002</t>
  </si>
  <si>
    <t>Hyundai</t>
  </si>
  <si>
    <t>i20</t>
  </si>
  <si>
    <t>1.0 T-GDI 90 7DCT Jump</t>
  </si>
  <si>
    <t>7DCT Otomatik</t>
  </si>
  <si>
    <t>Hyundai i20 1.0 T-GDI 90 7DCT Jump Uzun Dönem Kiralama</t>
  </si>
  <si>
    <t>hyundai-i20-1-0-t-gdi-90-7dct-jump</t>
  </si>
  <si>
    <t>Şehir içi saha ekipleri ve operasyon filosu</t>
  </si>
  <si>
    <t>https://upload.wikimedia.org/wikipedia/commons/b/bb/Hyundai_i20_(BC3)_Facelift_IMG_8591.jpg</t>
  </si>
  <si>
    <t>https://www.hyundai.com/tr/tr/modeller/i20/ozellikler.html</t>
  </si>
  <si>
    <t>https://fleetintelligence.com.tr/uzun-donem-arac-kiralama/</t>
  </si>
  <si>
    <t>Orta-Yüksek</t>
  </si>
  <si>
    <t>Motor/şanzıman Hyundai Türkiye güncel sayfası; bazı ölçü ve performans değerleri model serisi verisidir, yayın öncesi versiyon teyidi önerilir.</t>
  </si>
  <si>
    <t>KF-003</t>
  </si>
  <si>
    <t>B</t>
  </si>
  <si>
    <t>Opel</t>
  </si>
  <si>
    <t>Corsa</t>
  </si>
  <si>
    <t>Hybrid 1.2 110 (100 HP) e-DCT6 Edition</t>
  </si>
  <si>
    <t>Benzin / Mild Hybrid</t>
  </si>
  <si>
    <t>e-DCT6 Otomatik</t>
  </si>
  <si>
    <t>Opel Corsa Hybrid 1.2 110 (100 HP) e-DCT6 Edition Uzun Dönem Kiralama</t>
  </si>
  <si>
    <t>opel-corsa-hybrid-1-2-110-100-hp-e-dct6-edition</t>
  </si>
  <si>
    <t>Düşük tüketim hedefli şehir içi şirket aracı</t>
  </si>
  <si>
    <t>https://upload.wikimedia.org/wikipedia/commons/b/b4/2023_Opel_Corsa_F_Hybrid_IMG_8487.jpg</t>
  </si>
  <si>
    <t>https://fiyatlisteleri.opel.com.tr/arac/corsa</t>
  </si>
  <si>
    <t>https://www.garenta.com/tr/uzun-donem-arac-kiralama</t>
  </si>
  <si>
    <t>2026 Opel fiyatlandırma adlandırması ile benchmarktaki Corsa Hybrid 1.2 100 e-DCT6 eşleştirildi; teknik değerler yayın öncesi VIN/versiyon bazında teyit edilmeli.</t>
  </si>
  <si>
    <t>KF-004</t>
  </si>
  <si>
    <t>Fiat</t>
  </si>
  <si>
    <t>Egea Sedan</t>
  </si>
  <si>
    <t>Urban 1.6 M.Jet 130 DCT</t>
  </si>
  <si>
    <t>C Sedan</t>
  </si>
  <si>
    <t>DCT Otomatik</t>
  </si>
  <si>
    <t>Fiat Egea Sedan Urban 1.6 M.Jet 130 DCT Uzun Dönem Kiralama</t>
  </si>
  <si>
    <t>fiat-egea-sedan-urban-1-6-m-jet-130-dct</t>
  </si>
  <si>
    <t>Yüksek kilometre yapan saha ve satış ekipleri</t>
  </si>
  <si>
    <t>https://upload.wikimedia.org/wikipedia/commons/a/af/Fiat_Tipo_1.4_Sedan_(49182414416).jpg</t>
  </si>
  <si>
    <t>https://www.drd.com.tr/tr/araclar/fiat/egea/sedan-urban-1-6-m-jet-130-dct/</t>
  </si>
  <si>
    <t>DRD Egea Sedan Urban 1.6 M.Jet 130 DCT teknik sayfası esas alındı.</t>
  </si>
  <si>
    <t>KF-005</t>
  </si>
  <si>
    <t>Škoda</t>
  </si>
  <si>
    <t>Kamiq</t>
  </si>
  <si>
    <t>1.0 TSI 115 DSG Premium FL</t>
  </si>
  <si>
    <t>B-SUV</t>
  </si>
  <si>
    <t>DSG Otomatik</t>
  </si>
  <si>
    <t>Škoda Kamiq 1.0 TSI 115 DSG Premium FL Uzun Dönem Kiralama</t>
  </si>
  <si>
    <t>skoda-kamiq-1-0-tsi-115-dsg-premium-fl</t>
  </si>
  <si>
    <t>Kompakt SUV isteyen yönetici ve saha ekipleri</t>
  </si>
  <si>
    <t>https://upload.wikimedia.org/wikipedia/commons/c/c4/%C5%A0koda_Kamiq_Facelift_IMG_8638.jpg</t>
  </si>
  <si>
    <t>https://www.drd.com.tr/tr/araclar/skoda/kamiq-1-0-tsi-115-dsg-premium-fl/</t>
  </si>
  <si>
    <t>https://www.budget.com.tr/kurumsal-kisa-donem-arac-kiralama-kurumsal-kiralamanda-avantajli-fiyatlar</t>
  </si>
  <si>
    <t>DRD Premium FL sayfası ve aynı motor ailesinin güncel teknik verileri esas alındı.</t>
  </si>
  <si>
    <t>KF-006</t>
  </si>
  <si>
    <t>Toyota</t>
  </si>
  <si>
    <t>Corolla Sedan</t>
  </si>
  <si>
    <t>1.5 Dream X-Pack Multidrive S</t>
  </si>
  <si>
    <t>Multidrive S CVT</t>
  </si>
  <si>
    <t>Toyota Corolla Sedan 1.5 Dream X-Pack Multidrive S Uzun Dönem Kiralama</t>
  </si>
  <si>
    <t>toyota-corolla-sedan-1-5-dream-x-pack-multidrive-s</t>
  </si>
  <si>
    <t>Standart kurumsal sedan, satış ve yönetici havuzu</t>
  </si>
  <si>
    <t>https://upload.wikimedia.org/wikipedia/commons/1/17/TOYOTA_COROLLA_SEDAN_(E210)_China_(9).jpg</t>
  </si>
  <si>
    <t>https://www.toyota.com.tr/content/dam/toyota/nmsc/turkey/cars/e-brosur/corolla/Corolla-Teknik-ve-Donanim-Ozellikleri-01-2026.pdf</t>
  </si>
  <si>
    <t>Toyota Türkiye Corolla teknik/donanım broşürü (01/2026) esas alındı; CO₂ değeri aralık ortalaması olarak gösterildi.</t>
  </si>
  <si>
    <t>KF-007</t>
  </si>
  <si>
    <t>1.8 Hybrid Dream e-CVT 140</t>
  </si>
  <si>
    <t>Tam Hybrid</t>
  </si>
  <si>
    <t>e-CVT Otomatik</t>
  </si>
  <si>
    <t>Toyota Corolla Sedan 1.8 Hybrid Dream e-CVT 140 Uzun Dönem Kiralama</t>
  </si>
  <si>
    <t>toyota-corolla-sedan-1-8-hybrid-dream-e-cvt-140</t>
  </si>
  <si>
    <t>Yakıt ve emisyon optimizasyonu isteyen kurumsal sedan filosu</t>
  </si>
  <si>
    <t>https://upload.wikimedia.org/wikipedia/commons/0/08/Toyota_Corolla_Hybrid_Sedan,_GIMS_2019,_Le_Grand-Saconnex_(GIMS1338).jpg</t>
  </si>
  <si>
    <t>Toyota Türkiye 2026 Corolla teknik broşürü ve resmi model bilgileri esas alındı; tork sistem çıktısı olarak verildi.</t>
  </si>
  <si>
    <t>KF-008</t>
  </si>
  <si>
    <t>Megane Sedan</t>
  </si>
  <si>
    <t>Touch 1.3 TCe EDC 140</t>
  </si>
  <si>
    <t>7 ileri EDC Otomatik</t>
  </si>
  <si>
    <t>Renault Megane Sedan Touch 1.3 TCe EDC 140 Uzun Dönem Kiralama</t>
  </si>
  <si>
    <t>renault-megane-sedan-touch-1-3-tce-edc-140</t>
  </si>
  <si>
    <t>Orta kademe yönetici, satış ve uzun yol kullanımı</t>
  </si>
  <si>
    <t>https://upload.wikimedia.org/wikipedia/commons/e/ef/Renault_Megane_IV_Sedan_1X7A0227.jpg</t>
  </si>
  <si>
    <t>https://www.drd.com.tr/tr/araclar/renault/megane-sedan-touch-1-3-tce-edc-140-faz-2/</t>
  </si>
  <si>
    <t>DRD Megane Sedan Touch 1.3 TCe EDC 140 ve model serisi teknik verileri esas alındı.</t>
  </si>
  <si>
    <t>KF-009</t>
  </si>
  <si>
    <t>Octavia</t>
  </si>
  <si>
    <t>Premium 1.5 TSI mHEV 150 DSG</t>
  </si>
  <si>
    <t>C Liftback</t>
  </si>
  <si>
    <t>Škoda Octavia Premium 1.5 TSI mHEV 150 DSG Uzun Dönem Kiralama</t>
  </si>
  <si>
    <t>skoda-octavia-premium-1-5-tsi-mhev-150-dsg</t>
  </si>
  <si>
    <t>Yönetici aracı ve bagaj hacmi öncelikli uzun yol filosu</t>
  </si>
  <si>
    <t>https://upload.wikimedia.org/wikipedia/commons/e/ea/Skoda_Octavia_IV_liftback_(cropped).jpg</t>
  </si>
  <si>
    <t>https://www.drd.com.tr/tr/araclar/skoda/octavia/premium-1-5-tsi-mhev-150-dsg-fl/</t>
  </si>
  <si>
    <t>DRD Octavia Premium/Elite 1.5 TSI mHEV 150 DSG FL teknik verileri esas alındı.</t>
  </si>
  <si>
    <t>KF-010</t>
  </si>
  <si>
    <t>Superb</t>
  </si>
  <si>
    <t>Prestige 1.5 TSI mHEV 150 DSG</t>
  </si>
  <si>
    <t>D Liftback</t>
  </si>
  <si>
    <t>Škoda Superb Prestige 1.5 TSI mHEV 150 DSG Uzun Dönem Kiralama</t>
  </si>
  <si>
    <t>skoda-superb-prestige-1-5-tsi-mhev-150-dsg</t>
  </si>
  <si>
    <t>Üst düzey yönetici ve uzun yol kurumsal kullanımı</t>
  </si>
  <si>
    <t>https://upload.wikimedia.org/wikipedia/commons/4/4a/%C5%A0koda_Superb_IV.jpg</t>
  </si>
  <si>
    <t>https://www.drd.com.tr/tr/araclar/skoda/superb/1-5-tsi-mhev-150-dsg-prestige-fl/</t>
  </si>
  <si>
    <t>DRD Superb Prestige 1.5 TSI mHEV 150 DSG FL teknik verileri esas alındı.</t>
  </si>
  <si>
    <t>KF-011</t>
  </si>
  <si>
    <t>Bayon</t>
  </si>
  <si>
    <t>1.0 T-GDI 90 Style DCT</t>
  </si>
  <si>
    <t>Hyundai Bayon 1.0 T-GDI 90 Style DCT Uzun Dönem Kiralama</t>
  </si>
  <si>
    <t>hyundai-bayon-1-0-t-gdi-90-style-dct</t>
  </si>
  <si>
    <t>Şehir içi saha ekipleri için kompakt crossover</t>
  </si>
  <si>
    <t>https://upload.wikimedia.org/wikipedia/commons/1/1a/Hyundai_Bayon_1.0_T-GDI_Prime_(Facelift)_%E2%80%93_f_07072024.jpg</t>
  </si>
  <si>
    <t>https://www.hyundai.com/tr/tr/modeller/bayon/ozellikler.html</t>
  </si>
  <si>
    <t>Hyundai Türkiye güncel Bayon motor/donanım sayfaları; bazı ölçüler model serisi verisidir.</t>
  </si>
  <si>
    <t>KF-012</t>
  </si>
  <si>
    <t>Volkswagen</t>
  </si>
  <si>
    <t>Taigo</t>
  </si>
  <si>
    <t>Life 1.0 TSI 116 DSG</t>
  </si>
  <si>
    <t>B-SUV Coupé</t>
  </si>
  <si>
    <t>7 ileri DSG</t>
  </si>
  <si>
    <t>Volkswagen Taigo Life 1.0 TSI 116 DSG Uzun Dönem Kiralama</t>
  </si>
  <si>
    <t>volkswagen-taigo-life-1-0-tsi-116-dsg</t>
  </si>
  <si>
    <t>Tasarım odaklı kompakt SUV isteyen yönetici ve saha ekipleri</t>
  </si>
  <si>
    <t>https://upload.wikimedia.org/wikipedia/commons/c/c1/2023_Volkswagen_Taigo_Life_TSI_-_999cc_1.0_(110PS)_Petrol_-_Ascot_Grey_-_05-2024,_Front.jpg</t>
  </si>
  <si>
    <t>https://www.drd.com.tr/tr/araclar/volkswagen/taigo/1-0-tsi-116-dsg-life/</t>
  </si>
  <si>
    <t>DRD Taigo Life 1.0 TSI 116 DSG teknik sayfası esas alındı.</t>
  </si>
  <si>
    <t>KF-013</t>
  </si>
  <si>
    <t>Frontera</t>
  </si>
  <si>
    <t>Hybrid 1.2 145 e-DCT6 Edition</t>
  </si>
  <si>
    <t>C-SUV</t>
  </si>
  <si>
    <t>Opel Frontera Hybrid 1.2 145 e-DCT6 Edition Uzun Dönem Kiralama</t>
  </si>
  <si>
    <t>opel-frontera-hybrid-1-2-145-e-dct6-edition</t>
  </si>
  <si>
    <t>Aile/ekip kullanımı ve kompakt SUV filosu</t>
  </si>
  <si>
    <t>https://upload.wikimedia.org/wikipedia/commons/f/f1/Opel_Frontera_2024.jpg</t>
  </si>
  <si>
    <t>https://www.drd.com.tr/tr/araclar/opel/frontera-mhev-136-e-dct-edition/</t>
  </si>
  <si>
    <t>Orta / yayın öncesi teyit</t>
  </si>
  <si>
    <t>Benchmark 145 HP versiyonla eşleştirildi. DRD 136 HP MHEV sayfasındaki kasa/geometri verileri referans alınmıştır; 145 HP versiyon teknik detaylarını yayın öncesi Opel Türkiye'den teyit edin.</t>
  </si>
  <si>
    <t>KF-014</t>
  </si>
  <si>
    <t>Peugeot</t>
  </si>
  <si>
    <t>2008</t>
  </si>
  <si>
    <t>Allure Hybrid 145 eDCS6</t>
  </si>
  <si>
    <t>Benzin / Hybrid</t>
  </si>
  <si>
    <t>eDCS6 Otomatik</t>
  </si>
  <si>
    <t>Peugeot 2008 Allure Hybrid 145 eDCS6 Uzun Dönem Kiralama</t>
  </si>
  <si>
    <t>peugeot-2008-allure-hybrid-145-edcs6</t>
  </si>
  <si>
    <t>Şehir ve çevre yolu ağırlıklı yönetici/saha SUV'u</t>
  </si>
  <si>
    <t>https://upload.wikimedia.org/wikipedia/commons/9/97/2024_Peugeot_2008_PureTech_130_Allure_(Front).jpg</t>
  </si>
  <si>
    <t>https://www.peugeot.com.tr/peugeot-modelleri/2008.html</t>
  </si>
  <si>
    <t>Peugeot Türkiye 2008 güncel model sayfası ve teknik broşür ölçüleri; tüketim/tork değerleri versiyon seviyesinde yayın öncesi teyit edilmelidir.</t>
  </si>
  <si>
    <t>KF-015</t>
  </si>
  <si>
    <t>Duster</t>
  </si>
  <si>
    <t>Turbo TCe EDC 145</t>
  </si>
  <si>
    <t>Renault Duster Turbo TCe EDC 145 Uzun Dönem Kiralama</t>
  </si>
  <si>
    <t>renault-duster-turbo-tce-edc-145</t>
  </si>
  <si>
    <t>Saha, şantiye çevresi ve çok amaçlı kurumsal SUV</t>
  </si>
  <si>
    <t>https://upload.wikimedia.org/wikipedia/commons/2/2f/Dacia_Duster_III_IMG_8973.jpg</t>
  </si>
  <si>
    <t>https://www.renault.com.tr/hybrid-araclar/yeni-renault-duster/teknik-bilgiler.html</t>
  </si>
  <si>
    <t>Renault Türkiye Duster Turbo TCe EDC 145 motor değerleri; bazı kasa ölçüleri güncel Duster platform verisidir.</t>
  </si>
  <si>
    <t>KF-016</t>
  </si>
  <si>
    <t>Nissan</t>
  </si>
  <si>
    <t>Qashqai</t>
  </si>
  <si>
    <t>1.3 DIG-T Mild Hybrid 158 X-Tronic Designpack</t>
  </si>
  <si>
    <t>Nissan Qashqai 1.3 DIG-T Mild Hybrid 158 X-Tronic Designpack Uzun Dönem Kiralama</t>
  </si>
  <si>
    <t>nissan-qashqai-1-3-dig-t-mild-hybrid-158-x-tronic-designpack</t>
  </si>
  <si>
    <t>Yönetici, aile ve uzun yol odaklı C-SUV filosu</t>
  </si>
  <si>
    <t>https://upload.wikimedia.org/wikipedia/commons/0/0a/2024_Nissan_Qashqai_(J12)_IMG_1142.jpg</t>
  </si>
  <si>
    <t>https://www.nissan.com.tr/modeller/binek-araclar/yeni-nissan-qashqai/teknik-bilgi-donanimlar.html</t>
  </si>
  <si>
    <t>Nissan Türkiye güncel Qashqai teknik/donanım sayfası ve benchmarktaki 158 HP X-Tronic versiyon eşleştirmesi.</t>
  </si>
  <si>
    <t>KF-017</t>
  </si>
  <si>
    <t>3008</t>
  </si>
  <si>
    <t>Allure 1.2 Hybrid 145 eDCS6</t>
  </si>
  <si>
    <t>Peugeot 3008 Allure 1.2 Hybrid 145 eDCS6 Uzun Dönem Kiralama</t>
  </si>
  <si>
    <t>peugeot-3008-allure-1-2-hybrid-145-edcs6</t>
  </si>
  <si>
    <t>Orta-üst kademe yönetici ve aile tipi kurumsal SUV</t>
  </si>
  <si>
    <t>https://upload.wikimedia.org/wikipedia/commons/5/58/Peugeot_3008_C_IMG_9394.jpg</t>
  </si>
  <si>
    <t>https://www.peugeot.com.tr/peugeot-modelleri/3008.html</t>
  </si>
  <si>
    <t>Peugeot Türkiye güncel 3008 ve 2026 fiyat listesi verileri; tork/tüketim versiyon seviyesinde teyit edilmelidir.</t>
  </si>
  <si>
    <t>KF-018</t>
  </si>
  <si>
    <t>T-Roc</t>
  </si>
  <si>
    <t>Life 1.5 eTSI 150 DSG</t>
  </si>
  <si>
    <t>Volkswagen T-Roc Life 1.5 eTSI 150 DSG Uzun Dönem Kiralama</t>
  </si>
  <si>
    <t>volkswagen-t-roc-life-1-5-etsi-150-dsg</t>
  </si>
  <si>
    <t>Yönetici ve premium kompakt SUV filosu</t>
  </si>
  <si>
    <t>https://upload.wikimedia.org/wikipedia/commons/2/27/Volkswagen_T-Roc_II_IAA_2025_DSC_2028.jpg</t>
  </si>
  <si>
    <t>https://www.drd.com.tr/tr/araclar/volkswagen/t-roc/</t>
  </si>
  <si>
    <t>Benchmark 2026 1.5 eTSI 150 DSG versiyonuyla eşleştirildi; yeni nesil kasa ölçüleri/model-serisi verileri yayın öncesi VW Türkiye konfigüratöründen teyit edilmelidir.</t>
  </si>
  <si>
    <t>KF-019</t>
  </si>
  <si>
    <t>Austral</t>
  </si>
  <si>
    <t>Techno Mild Hybrid 150 Auto</t>
  </si>
  <si>
    <t>CVT Otomatik</t>
  </si>
  <si>
    <t>Renault Austral Techno Mild Hybrid 150 Auto Uzun Dönem Kiralama</t>
  </si>
  <si>
    <t>renault-austral-techno-mild-hybrid-150-auto</t>
  </si>
  <si>
    <t>Yönetici ve yüksek konfor beklentili C-SUV filosu</t>
  </si>
  <si>
    <t>https://upload.wikimedia.org/wikipedia/commons/8/80/Renault_Austral_facelift_Wit_Bochane.jpg</t>
  </si>
  <si>
    <t>https://www.renault.com.tr/hybrid-araclar/renault-austral-2025/teknik-bilgiler.html</t>
  </si>
  <si>
    <t>https://www.hedeffilo.com/tr-TR/cozumlerimiz/uzun-donem-arac-kiralama</t>
  </si>
  <si>
    <t>Renault Türkiye Austral 2025 teknik sayfası verileri.</t>
  </si>
  <si>
    <t>KF-020</t>
  </si>
  <si>
    <t>Kia</t>
  </si>
  <si>
    <t>Sportage</t>
  </si>
  <si>
    <t>1.6L T-GDI 150 PS DCT</t>
  </si>
  <si>
    <t>Kia Sportage 1.6L T-GDI 150 PS DCT Uzun Dönem Kiralama</t>
  </si>
  <si>
    <t>kia-sportage-1-6l-t-gdi-150-ps-dct</t>
  </si>
  <si>
    <t>Yönetici ve aile tipi geniş C-SUV kurumsal filosu</t>
  </si>
  <si>
    <t>https://upload.wikimedia.org/wikipedia/commons/9/94/Kia_Sportage_1.6T_2WD_Signature_NQ5_PE_Snow_White_Pearl_(3)_(cropped).jpg</t>
  </si>
  <si>
    <t>https://www.kia.com/tr/modeller/sportage-nq5-pe/teknik-ozellikler.html</t>
  </si>
  <si>
    <t>Kia Türkiye Sportage NQ5 PE teknik sayfası ve 2026 fiyatlandırma motor seçeneği; tüketim/bagaj bazı donanıma göre değişebilir.</t>
  </si>
  <si>
    <t>KF-021</t>
  </si>
  <si>
    <t>408</t>
  </si>
  <si>
    <t>C Fastback/Crossover</t>
  </si>
  <si>
    <t>Peugeot 408 Allure Hybrid 145 eDCS6 Uzun Dönem Kiralama</t>
  </si>
  <si>
    <t>peugeot-408-allure-hybrid-145-edcs6</t>
  </si>
  <si>
    <t>Tasarım ve prestij odaklı orta-üst kademe yönetici aracı</t>
  </si>
  <si>
    <t>https://upload.wikimedia.org/wikipedia/commons/9/9f/Peugeot_408_(2024)_(53971759965).jpg</t>
  </si>
  <si>
    <t>https://www.peugeot.com.tr/peugeot-modelleri/408.html</t>
  </si>
  <si>
    <t>https://www.avisfilo.com/</t>
  </si>
  <si>
    <t>Peugeot Türkiye güncel 408 Hybrid 145 sayfası; performans/ölçüler model serisi verileri.</t>
  </si>
  <si>
    <t>KF-022</t>
  </si>
  <si>
    <t>Tesla</t>
  </si>
  <si>
    <t>Model Y</t>
  </si>
  <si>
    <t>RWD</t>
  </si>
  <si>
    <t>D-SUV Elektrik</t>
  </si>
  <si>
    <t>Tek oranlı otomatik</t>
  </si>
  <si>
    <t>Tesla Model Y RWD Uzun Dönem Kiralama</t>
  </si>
  <si>
    <t>tesla-model-y-rwd</t>
  </si>
  <si>
    <t>Elektrikli premium yönetici ve teknoloji odaklı filo</t>
  </si>
  <si>
    <t>https://upload.wikimedia.org/wikipedia/commons/a/ac/2025_Tesla_Model_Y_Juniper_Long_Range_RWD.jpg</t>
  </si>
  <si>
    <t>https://www.tesla.com/tr_tr/modely</t>
  </si>
  <si>
    <t>https://www.voltify.com.tr/araclar</t>
  </si>
  <si>
    <t>Tesla Türkiye Model Y sayfası esas alındı. RWD'nin batarya, WLTP menzil, güç ve performans değerleri konfigürasyona göre değiştiği için yayına alınmadan aynı gün Tesla konfigüratöründen doğrulanmalıdır.</t>
  </si>
  <si>
    <t>KF-023</t>
  </si>
  <si>
    <t>EV3</t>
  </si>
  <si>
    <t>Cool Long Range 150 kW</t>
  </si>
  <si>
    <t>B/C-SUV Elektrik</t>
  </si>
  <si>
    <t>Kia EV3 Cool Long Range 150 kW Uzun Dönem Kiralama</t>
  </si>
  <si>
    <t>kia-ev3-cool-long-range-150-kw</t>
  </si>
  <si>
    <t>Yüksek menzil isteyen elektrikli kurumsal SUV filosu</t>
  </si>
  <si>
    <t>https://upload.wikimedia.org/wikipedia/commons/2/2a/Kia_EV3_GT-Line_Automesse_Ludwigsburg_2024_IMG_1353.jpg</t>
  </si>
  <si>
    <t>https://www.kia.com/tr/modeller/ev3/teknik-ozellikler.html</t>
  </si>
  <si>
    <t>Kia Türkiye EV3 teknik özellikler sayfasındaki Cool Long Range verileri esas alındı.</t>
  </si>
  <si>
    <t>KF-024</t>
  </si>
  <si>
    <t>BMW</t>
  </si>
  <si>
    <t>320i Sedan</t>
  </si>
  <si>
    <t>320i</t>
  </si>
  <si>
    <t>D Premium Sedan</t>
  </si>
  <si>
    <t>Steptronic Otomatik</t>
  </si>
  <si>
    <t>BMW 320i Sedan 320i Uzun Dönem Kiralama</t>
  </si>
  <si>
    <t>bmw-320i-sedan-320i</t>
  </si>
  <si>
    <t>Üst düzey yönetici ve temsil aracı</t>
  </si>
  <si>
    <t>https://upload.wikimedia.org/wikipedia/commons/9/90/BMW_G20_320i_Luxury_Line_Alpine_White_(3).jpg</t>
  </si>
  <si>
    <t>https://www.bmw.com.tr/tr/all-models/3-series/bmw-3-serisi-sedan/bmw-3-serisi-sedan-teknik-veriler.html</t>
  </si>
  <si>
    <t>BMW Türkiye 3 Serisi Sedan teknik verileri esas alındı.</t>
  </si>
  <si>
    <t>KF-025</t>
  </si>
  <si>
    <t>Doblo Cargo</t>
  </si>
  <si>
    <t>1.5 BlueHDi 100 6MT</t>
  </si>
  <si>
    <t>Küçük Panelvan</t>
  </si>
  <si>
    <t>6 ileri Manuel</t>
  </si>
  <si>
    <t>Fiat Doblo Cargo 1.5 BlueHDi 100 6MT Uzun Dönem Kiralama</t>
  </si>
  <si>
    <t>fiat-doblo-cargo-1-5-bluehdi-100-6mt</t>
  </si>
  <si>
    <t>Servis, teknik ekip, kargo ve şehir içi dağıtım</t>
  </si>
  <si>
    <t>https://upload.wikimedia.org/wikipedia/commons/f/f5/2024_Fiat_Dobl%C3%B2_Mk3_IMG_2388.jpg</t>
  </si>
  <si>
    <t>https://www.fiat.com.tr/professional/modeller/doblo-cargo</t>
  </si>
  <si>
    <t>Fiat Professional güncel Doblo Cargo ile 1.5 BlueHDi 100 teknik verileri; yük hacmi/ölçü gövde uzunluğuna göre değişebilir.</t>
  </si>
  <si>
    <t>KF-026</t>
  </si>
  <si>
    <t>Doblo Combi</t>
  </si>
  <si>
    <t>1.5 BlueHDi 130 AT Easy</t>
  </si>
  <si>
    <t>Küçük Combi</t>
  </si>
  <si>
    <t>8 ileri Otomatik</t>
  </si>
  <si>
    <t>Fiat Doblo Combi 1.5 BlueHDi 130 AT Easy Uzun Dönem Kiralama</t>
  </si>
  <si>
    <t>fiat-doblo-combi-1-5-bluehdi-130-at-easy</t>
  </si>
  <si>
    <t>Personel taşıma, saha ekibi ve çok amaçlı ticari kullanım</t>
  </si>
  <si>
    <t>https://upload.wikimedia.org/wikipedia/commons/0/07/Fiat_Doblo,_BAS_24,_Brussels_(P1170399-RR).jpg</t>
  </si>
  <si>
    <t>https://www.fiat.com.tr/professional/modeller/doblo-combi/ozellikler</t>
  </si>
  <si>
    <t>Fiat Professional Doblo Combi güncel model ailesi verileri; bagaj ölçüsü koltuk/gövde konfigürasyonuna göre değişir.</t>
  </si>
  <si>
    <t>KF-027</t>
  </si>
  <si>
    <t>Scudo Van</t>
  </si>
  <si>
    <t>Standard Business L2 1.5 120</t>
  </si>
  <si>
    <t>Orta Panelvan</t>
  </si>
  <si>
    <t>Fiat Scudo Van Standard Business L2 1.5 120 Uzun Dönem Kiralama</t>
  </si>
  <si>
    <t>fiat-scudo-van-standard-business-l2-1-5-120</t>
  </si>
  <si>
    <t>Orta hacimli dağıtım, servis ve teknik operasyon</t>
  </si>
  <si>
    <t>https://upload.wikimedia.org/wikipedia/commons/0/0b/Fiat_Scudo_(2024)_DSC_8323.jpg</t>
  </si>
  <si>
    <t>https://www.fiat.com.tr/professional/modeller/scudo</t>
  </si>
  <si>
    <t>Fiat Professional Scudo Standard ve bayi teknik verileri; yük hacmi konfigürasyona göre değişebilir.</t>
  </si>
  <si>
    <t>KF-028</t>
  </si>
  <si>
    <t>Ford</t>
  </si>
  <si>
    <t>Tourneo Courier</t>
  </si>
  <si>
    <t>1.0 EcoBoost 125 7DCT</t>
  </si>
  <si>
    <t>7 ileri DCT</t>
  </si>
  <si>
    <t>Ford Tourneo Courier 1.0 EcoBoost 125 7DCT Uzun Dönem Kiralama</t>
  </si>
  <si>
    <t>ford-tourneo-courier-1-0-ecoboost-125-7dct</t>
  </si>
  <si>
    <t>Personel, saha ekibi ve şehir içi çok amaçlı kullanım</t>
  </si>
  <si>
    <t>https://upload.wikimedia.org/wikipedia/commons/e/ef/Ford_Tourneo_Courier_(2nd_generation)_IMG_9660.jpg</t>
  </si>
  <si>
    <t>https://www.ford.com.tr/ticari-araclar/tourneo-courier</t>
  </si>
  <si>
    <t>Ford Türkiye güncel Tourneo Courier motor ailesi. Benchmark kayıtları ağırlıkla 100 HP eski/generic varyantlara aittir; fiyat eşleştirmesi model-serisi seviyesindedir.</t>
  </si>
  <si>
    <t>KF-029</t>
  </si>
  <si>
    <t>Transit Custom Van</t>
  </si>
  <si>
    <t>2.0 EcoBlue 136 320L Van Trend</t>
  </si>
  <si>
    <t>Otomatik / versiyona göre</t>
  </si>
  <si>
    <t>Ford Transit Custom Van 2.0 EcoBlue 136 320L Van Trend Uzun Dönem Kiralama</t>
  </si>
  <si>
    <t>ford-transit-custom-van-2-0-ecoblue-136-320l-van-trend</t>
  </si>
  <si>
    <t>Orta hacimli kurumsal lojistik, servis ve teknik operasyon</t>
  </si>
  <si>
    <t>https://upload.wikimedia.org/wikipedia/commons/8/89/2024_Ford_Transit_Custom_Limited_TDCi_-_1996cc_2.0_(136PS)_Diesel_-_Artisan_Red_-_08-2024,_Front.jpg</t>
  </si>
  <si>
    <t>https://www.ford.com.tr/ticari-araclar/transit-custom-van</t>
  </si>
  <si>
    <t>Ford Türkiye Transit Custom Van 136 PS güncel motor seçeneği ve benchmark 320L Van Trend eşleştirmesi. Ölçü/yük hacmi gövde ve bölme opsiyonuna göre teyit edilmelidir.</t>
  </si>
  <si>
    <t>KF-030</t>
  </si>
  <si>
    <t>Transit Van</t>
  </si>
  <si>
    <t>350M 9.5 m³ 2.0 EcoBlue 130 Trend</t>
  </si>
  <si>
    <t>Büyük Panelvan</t>
  </si>
  <si>
    <t>Ford Transit Van 350M 9.5 m³ 2.0 EcoBlue 130 Trend Uzun Dönem Kiralama</t>
  </si>
  <si>
    <t>ford-transit-van-350m-9-5-m3-2-0-ecoblue-130-trend</t>
  </si>
  <si>
    <t>Hacimli dağıtım, saha servisi ve lojistik</t>
  </si>
  <si>
    <t>https://upload.wikimedia.org/wikipedia/commons/1/18/2023_Ford_Transit_T-350HD_XL_high_roof_extended_length_passenger_van,_front_left,_09-28-2024.jpg</t>
  </si>
  <si>
    <t>https://www.ford.com.tr/ticari-araclar/transit-van</t>
  </si>
  <si>
    <t>Benchmarktaki 350M 9.5 m³ 2.0 130 Trend varyantı esas alındı; Ford güncel Transit motor gamı ile çapraz kontrol edildi. Şasi/gövde ölçülerini sipariş konfigürasyonundan teyit edin.</t>
  </si>
  <si>
    <t>KF-031</t>
  </si>
  <si>
    <t>Citroën</t>
  </si>
  <si>
    <t>Berlingo Van</t>
  </si>
  <si>
    <t>Citroën Berlingo Van 1.5 BlueHDi 100 6MT Uzun Dönem Kiralama</t>
  </si>
  <si>
    <t>citroen-berlingo-van-1-5-bluehdi-100-6mt</t>
  </si>
  <si>
    <t>Şehir içi dağıtım, servis ve teknik ekip operasyonu</t>
  </si>
  <si>
    <t>https://upload.wikimedia.org/wikipedia/commons/2/2a/2024_Citro%C3%ABn_Berlingo_III_IMG_1130.jpg</t>
  </si>
  <si>
    <t>https://www.citroen.com.tr/araclar/berlingo-van.html</t>
  </si>
  <si>
    <t>Citroën Türkiye Berlingo Van ve yetkili bayi teknik verileri; ölçüler uzun gövde konfigürasyonuna aittir.</t>
  </si>
  <si>
    <t>KF-032</t>
  </si>
  <si>
    <t>Ducato Van</t>
  </si>
  <si>
    <t>Maxi 13 m³ 2.2 Multijet 140 6MT</t>
  </si>
  <si>
    <t>Fiat Ducato Van Maxi 13 m³ 2.2 Multijet 140 6MT Uzun Dönem Kiralama</t>
  </si>
  <si>
    <t>fiat-ducato-van-maxi-13-m3-2-2-multijet-140-6mt</t>
  </si>
  <si>
    <t>Büyük hacimli kurumsal dağıtım ve lojistik</t>
  </si>
  <si>
    <t>https://upload.wikimedia.org/wikipedia/commons/8/88/2024_Fiat_Ducato_DSC_7199.jpg</t>
  </si>
  <si>
    <t>https://www.fiat.com.tr/professional/modeller/ducato-van</t>
  </si>
  <si>
    <t>Fiat Professional Ducato Van güncel 2.2 140 HP/350 Nm motor verileri ve benchmarktaki Maxi 13 m³ varyantı esas alındı; gövde ölçüleri sipariş konfigürasyonuna göre doğrulanmalıdır.</t>
  </si>
  <si>
    <t>Kalite Filo | Teknik Araç Detayları</t>
  </si>
  <si>
    <t>Boş bırakılan alanlar bilinçlidir: güvenilir, güncel ve versiyon-spesifik değer bulunamadığında uydurma veri kullanılmamıştır.</t>
  </si>
  <si>
    <t>Motor Hacmi (cc)</t>
  </si>
  <si>
    <t>Tork (Nm)</t>
  </si>
  <si>
    <t>Çekiş</t>
  </si>
  <si>
    <t>Batarya (kWh)</t>
  </si>
  <si>
    <t>WLTP Menzil (km)</t>
  </si>
  <si>
    <t>Yakıt Tüketimi (L/100 km)</t>
  </si>
  <si>
    <t>Enerji Tüketimi (kWh/100 km)</t>
  </si>
  <si>
    <t>CO₂ (g/km)</t>
  </si>
  <si>
    <t>Uzunluk (mm)</t>
  </si>
  <si>
    <t>Genişlik (mm)</t>
  </si>
  <si>
    <t>Yükseklik (mm)</t>
  </si>
  <si>
    <t>Aks Mesafesi (mm)</t>
  </si>
  <si>
    <t>Bagaj (L)</t>
  </si>
  <si>
    <t>Yük Hacmi (m³)</t>
  </si>
  <si>
    <t>Kapı</t>
  </si>
  <si>
    <t>0-100 km/s (sn)</t>
  </si>
  <si>
    <t>Azami Hız (km/s)</t>
  </si>
  <si>
    <t>Yakıt Deposu (L)</t>
  </si>
  <si>
    <t>Kaynak / Versiyon Notu</t>
  </si>
  <si>
    <t>Önden çekiş</t>
  </si>
  <si>
    <t>Arkadan çekiş</t>
  </si>
  <si>
    <t>Arkadan/önden çekiş versiyona göre</t>
  </si>
  <si>
    <t>Kalite Filo | 32 Araç Benchmark Özeti</t>
  </si>
  <si>
    <t>Yüklenen 2026 Türkiye kurumsal araç kiralama benchmark dosyasından seçili araç/model-serisi eşleşmeleri. Fiyatlar KDV hariç aylık net fiyat olarak özetlenmiştir.</t>
  </si>
  <si>
    <t>Araç</t>
  </si>
  <si>
    <t>Eşleşme Seviyesi</t>
  </si>
  <si>
    <t>Kayıt</t>
  </si>
  <si>
    <t>Min Net</t>
  </si>
  <si>
    <t>Medyan Net</t>
  </si>
  <si>
    <t>Ortalama Net</t>
  </si>
  <si>
    <t>Max Net</t>
  </si>
  <si>
    <t>Kaynak Şirketler</t>
  </si>
  <si>
    <t>Benchmark URL'leri</t>
  </si>
  <si>
    <t>Tarama Tarihi</t>
  </si>
  <si>
    <t>Önerilen Çalışma Net</t>
  </si>
  <si>
    <t>Not</t>
  </si>
  <si>
    <t>Renault Clio Evolution 1.0 TCe X-Tronic 90</t>
  </si>
  <si>
    <t>Tam / versiyon ağırlıklı</t>
  </si>
  <si>
    <t>Filo Teknik, Fleet Intelligence, Garenta, Avis Filo, Avis, Premium Kiralama, Filogo, Budget, Enterprise Türkiye, SIXT+, Filo Rent (filocar.net), Ayvens Türkiye / Tıkla Kirala, Zeplin Car Rental</t>
  </si>
  <si>
    <t>https://www.filoteknik.com.tr/markalar | https://fleetintelligence.com.tr/uzun-donem-arac-kiralama/ | https://www.garenta.com/tr/uzun-donem-arac-kiralama | https://www.avisfilo.com/ | https://www.avis.com.tr/kurumsal-kisa-donem-arac-kiralama-edenred | https://www.premiumkiralama.com/araclar | https://www.filogo.com/ | https://www.budget.com.tr/kurumsal-kisa-donem-arac-kiralama-kurumsal-kiralamanda-avantajli-fiyatlar</t>
  </si>
  <si>
    <t>2026-07-19</t>
  </si>
  <si>
    <t>Öneri fiyatı benchmark medyan + %3 / 100 TL yuvarlama; nihai fiyat değildir.</t>
  </si>
  <si>
    <t>Hyundai i20 1.0 T-GDI 90 7DCT Jump</t>
  </si>
  <si>
    <t>Fleet Intelligence, Garenta, Avis Filo, Budget, Filo Rent (filocar.net), Ayvens Türkiye / Tıkla Kirala</t>
  </si>
  <si>
    <t>https://fleetintelligence.com.tr/uzun-donem-arac-kiralama/ | https://www.garenta.com/tr/uzun-donem-arac-kiralama | https://www.avisfilo.com/ | https://www.budget.com.tr/kurumsal-kisa-donem-arac-kiralama-kurumsal-kiralamanda-avantajli-fiyatlar | https://www.filocar.net/ | https://www.tiklakirala.com/</t>
  </si>
  <si>
    <t>Opel Corsa Hybrid 1.2 110 (100 HP) e-DCT6 Edition</t>
  </si>
  <si>
    <t>Garenta, Avis Filo, TURKRENT</t>
  </si>
  <si>
    <t>https://www.garenta.com/tr/uzun-donem-arac-kiralama | https://www.avisfilo.com/ | https://turkrent.com.tr/uzun-donem-arac-kiralama/</t>
  </si>
  <si>
    <t>Fiat Egea Sedan Urban 1.6 M.Jet 130 DCT</t>
  </si>
  <si>
    <t>Filo Teknik, Hedef Filo, Avis Filo, Avis, Budget, SIXT+, Filo Rent (filocar.net), Zeplin Car Rental</t>
  </si>
  <si>
    <t>https://www.filoteknik.com.tr/markalar | https://www.hedeffilo.com/tr-TR/cozumlerimiz/uzun-donem-arac-kiralama | https://www.avisfilo.com/ | https://www.avis.com.tr/kurumsal-kisa-donem-arac-kiralama-edenred | https://www.budget.com.tr/kurumsal-kisa-donem-arac-kiralama-kurumsal-kiralamanda-avantajli-fiyatlar | https://www.sixt.com.tr/plus | https://www.filocar.net/ | https://www.zeplincar.com/aylik-arac-kiralama/aylik-elektrikli-mercedes-eqb</t>
  </si>
  <si>
    <t>Škoda Kamiq 1.0 TSI 115 DSG Premium FL</t>
  </si>
  <si>
    <t>Model-serisi</t>
  </si>
  <si>
    <t>Budget</t>
  </si>
  <si>
    <t>Toyota Corolla Sedan 1.5 Dream X-Pack Multidrive S</t>
  </si>
  <si>
    <t>Fleet Intelligence, Hedef Filo</t>
  </si>
  <si>
    <t>https://fleetintelligence.com.tr/uzun-donem-arac-kiralama/ | https://www.hedeffilo.com/tr-TR/cozumlerimiz/uzun-donem-arac-kiralama</t>
  </si>
  <si>
    <t>Toyota Corolla Sedan 1.8 Hybrid Dream e-CVT 140</t>
  </si>
  <si>
    <t>Fleet Intelligence, Hedef Filo, Avis Filo, TURKRENT, Premium Kiralama, Filogo</t>
  </si>
  <si>
    <t>https://fleetintelligence.com.tr/uzun-donem-arac-kiralama/ | https://www.hedeffilo.com/tr-TR/cozumlerimiz/uzun-donem-arac-kiralama | https://www.avisfilo.com/ | https://turkrent.com.tr/uzun-donem-arac-kiralama/ | https://www.premiumkiralama.com/araclar | https://www.filogo.com/</t>
  </si>
  <si>
    <t>Renault Megane Sedan Touch 1.3 TCe EDC 140</t>
  </si>
  <si>
    <t>Fleet Intelligence, Avis Filo, TURKRENT, Premium Kiralama, Budget, SIXT+, Filo Rent (filocar.net)</t>
  </si>
  <si>
    <t>https://fleetintelligence.com.tr/uzun-donem-arac-kiralama/ | https://www.avisfilo.com/ | https://turkrent.com.tr/uzun-donem-arac-kiralama/ | https://www.premiumkiralama.com/araclar | https://www.budget.com.tr/kurumsal-kisa-donem-arac-kiralama-kurumsal-kiralamanda-avantajli-fiyatlar | https://www.sixt.com.tr/plus | https://www.filocar.net/</t>
  </si>
  <si>
    <t>Škoda Octavia Premium 1.5 TSI mHEV 150 DSG</t>
  </si>
  <si>
    <t>Fleet Intelligence, Hedef Filo, Avis Filo, Ayvens Türkiye / Tıkla Kirala</t>
  </si>
  <si>
    <t>https://fleetintelligence.com.tr/uzun-donem-arac-kiralama/ | https://www.hedeffilo.com/tr-TR/cozumlerimiz/uzun-donem-arac-kiralama | https://www.avisfilo.com/ | https://www.tiklakirala.com/</t>
  </si>
  <si>
    <t>Škoda Superb Prestige 1.5 TSI mHEV 150 DSG</t>
  </si>
  <si>
    <t>Fleet Intelligence, Avis Filo, Filo Rent (filocar.net), Ayvens Türkiye / Tıkla Kirala</t>
  </si>
  <si>
    <t>https://fleetintelligence.com.tr/uzun-donem-arac-kiralama/ | https://www.avisfilo.com/ | https://www.filocar.net/ | https://www.tiklakirala.com/</t>
  </si>
  <si>
    <t>Hyundai Bayon 1.0 T-GDI 90 Style DCT</t>
  </si>
  <si>
    <t>Garenta, Avis Filo, Zeplin Car Rental</t>
  </si>
  <si>
    <t>https://www.garenta.com/tr/uzun-donem-arac-kiralama | https://www.avisfilo.com/ | https://www.zeplincar.com/aylik-arac-kiralama/aylik-elektrikli-mercedes-eqb</t>
  </si>
  <si>
    <t>Volkswagen Taigo Life 1.0 TSI 116 DSG</t>
  </si>
  <si>
    <t>Fleet Intelligence, Hedef Filo, Budget, Ayvens Türkiye / Tıkla Kirala</t>
  </si>
  <si>
    <t>https://fleetintelligence.com.tr/uzun-donem-arac-kiralama/ | https://www.hedeffilo.com/tr-TR/cozumlerimiz/uzun-donem-arac-kiralama | https://www.budget.com.tr/kurumsal-kisa-donem-arac-kiralama-kurumsal-kiralamanda-avantajli-fiyatlar | https://www.tiklakirala.com/</t>
  </si>
  <si>
    <t>Opel Frontera Hybrid 1.2 145 e-DCT6 Edition</t>
  </si>
  <si>
    <t>Fleet Intelligence, Avis Filo</t>
  </si>
  <si>
    <t>https://fleetintelligence.com.tr/uzun-donem-arac-kiralama/ | https://www.avisfilo.com/</t>
  </si>
  <si>
    <t>Peugeot 2008 Allure Hybrid 145 eDCS6</t>
  </si>
  <si>
    <t>Renault Duster Turbo TCe EDC 145</t>
  </si>
  <si>
    <t>Model-serisi + yakın varyant</t>
  </si>
  <si>
    <t>Filo Teknik, Filo Rent (filocar.net)</t>
  </si>
  <si>
    <t>https://www.filoteknik.com.tr/markalar | https://www.filocar.net/</t>
  </si>
  <si>
    <t>Nissan Qashqai 1.3 DIG-T Mild Hybrid 158 X-Tronic Designpack</t>
  </si>
  <si>
    <t>Filo Teknik, Fleet Intelligence, SIXT+, Ayvens Türkiye / Tıkla Kirala</t>
  </si>
  <si>
    <t>https://www.filoteknik.com.tr/markalar | https://fleetintelligence.com.tr/uzun-donem-arac-kiralama/ | https://www.sixt.com.tr/plus | https://www.tiklakirala.com/</t>
  </si>
  <si>
    <t>Peugeot 3008 Allure 1.2 Hybrid 145 eDCS6</t>
  </si>
  <si>
    <t>Fleet Intelligence, Avis Filo, TURKRENT, Filogo, Enterprise Türkiye</t>
  </si>
  <si>
    <t>https://fleetintelligence.com.tr/uzun-donem-arac-kiralama/ | https://www.avisfilo.com/ | https://turkrent.com.tr/uzun-donem-arac-kiralama/ | https://www.filogo.com/ | https://www.enterprise.com.tr/kampanyalar/kurumsal-kiralama-avantaji</t>
  </si>
  <si>
    <t>Volkswagen T-Roc Life 1.5 eTSI 150 DSG</t>
  </si>
  <si>
    <t>Fleet Intelligence, Budget, Ayvens Türkiye / Tıkla Kirala</t>
  </si>
  <si>
    <t>https://fleetintelligence.com.tr/uzun-donem-arac-kiralama/ | https://www.budget.com.tr/kurumsal-kisa-donem-arac-kiralama-kurumsal-kiralamanda-avantajli-fiyatlar | https://www.tiklakirala.com/</t>
  </si>
  <si>
    <t>Renault Austral Techno Mild Hybrid 150 Auto</t>
  </si>
  <si>
    <t>Hedef Filo, Avis</t>
  </si>
  <si>
    <t>https://www.hedeffilo.com/tr-TR/cozumlerimiz/uzun-donem-arac-kiralama | https://www.avis.com.tr/kurumsal-kisa-donem-arac-kiralama-edenred</t>
  </si>
  <si>
    <t>Kia Sportage 1.6L T-GDI 150 PS DCT</t>
  </si>
  <si>
    <t>Garenta, Ayvens Türkiye / Tıkla Kirala</t>
  </si>
  <si>
    <t>https://www.garenta.com/tr/uzun-donem-arac-kiralama | https://www.tiklakirala.com/</t>
  </si>
  <si>
    <t>Peugeot 408 Allure Hybrid 145 eDCS6</t>
  </si>
  <si>
    <t>Avis Filo, TURKRENT</t>
  </si>
  <si>
    <t>https://www.avisfilo.com/ | https://turkrent.com.tr/uzun-donem-arac-kiralama/</t>
  </si>
  <si>
    <t>Tesla Model Y RWD</t>
  </si>
  <si>
    <t>Voltify, Filogo</t>
  </si>
  <si>
    <t>https://www.voltify.com.tr/araclar | https://www.filogo.com/</t>
  </si>
  <si>
    <t>Kia EV3 Cool Long Range 150 kW</t>
  </si>
  <si>
    <t>Garenta, Voltify</t>
  </si>
  <si>
    <t>https://www.garenta.com/tr/uzun-donem-arac-kiralama | https://www.voltify.com.tr/araclar</t>
  </si>
  <si>
    <t>BMW 320i Sedan 320i</t>
  </si>
  <si>
    <t>Avis Filo, Premium Kiralama, Filogo, Ayvens Türkiye / Tıkla Kirala</t>
  </si>
  <si>
    <t>https://www.avisfilo.com/ | https://www.premiumkiralama.com/araclar | https://www.filogo.com/ | https://www.tiklakirala.com/</t>
  </si>
  <si>
    <t>Fiat Doblo Cargo 1.5 BlueHDi 100 6MT</t>
  </si>
  <si>
    <t>Fleet Intelligence, Avis Filo, TURKRENT</t>
  </si>
  <si>
    <t>https://fleetintelligence.com.tr/uzun-donem-arac-kiralama/ | https://www.avisfilo.com/ | https://turkrent.com.tr/uzun-donem-arac-kiralama/</t>
  </si>
  <si>
    <t>Fiat Doblo Combi 1.5 BlueHDi 130 AT Easy</t>
  </si>
  <si>
    <t>Fleet Intelligence, Hedef Filo, Avis Filo, TURKRENT, Budget</t>
  </si>
  <si>
    <t>https://fleetintelligence.com.tr/uzun-donem-arac-kiralama/ | https://www.hedeffilo.com/tr-TR/cozumlerimiz/uzun-donem-arac-kiralama | https://www.avisfilo.com/ | https://turkrent.com.tr/uzun-donem-arac-kiralama/ | https://www.budget.com.tr/kurumsal-kisa-donem-arac-kiralama-kurumsal-kiralamanda-avantajli-fiyatlar</t>
  </si>
  <si>
    <t>Fiat Scudo Van Standard Business L2 1.5 120</t>
  </si>
  <si>
    <t>Filo Teknik, Fleet Intelligence, Avis Filo</t>
  </si>
  <si>
    <t>https://www.filoteknik.com.tr/markalar | https://fleetintelligence.com.tr/uzun-donem-arac-kiralama/ | https://www.avisfilo.com/</t>
  </si>
  <si>
    <t>Ford Tourneo Courier 1.0 EcoBoost 125 7DCT</t>
  </si>
  <si>
    <t>Avis Filo</t>
  </si>
  <si>
    <t>Ford Transit Custom Van 2.0 EcoBlue 136 320L Van Trend</t>
  </si>
  <si>
    <t>Ford Transit Van 350M 9.5 m³ 2.0 EcoBlue 130 Trend</t>
  </si>
  <si>
    <t>Filo Teknik, Avis Filo</t>
  </si>
  <si>
    <t>https://www.filoteknik.com.tr/markalar | https://www.avisfilo.com/</t>
  </si>
  <si>
    <t>Citroën Berlingo Van 1.5 BlueHDi 100 6MT</t>
  </si>
  <si>
    <t>Filo Teknik</t>
  </si>
  <si>
    <t>Fiat Ducato Van Maxi 13 m³ 2.2 Multijet 140 6MT</t>
  </si>
  <si>
    <t>Kalite Filo | Seçili 32 Araç İçin Eşleşen Ham Benchmark Kayıtları</t>
  </si>
  <si>
    <t>Benchmark Kayıt ID</t>
  </si>
  <si>
    <t>Şirket</t>
  </si>
  <si>
    <t>Model / Versiyon</t>
  </si>
  <si>
    <t>Süre (Ay)</t>
  </si>
  <si>
    <t>Km Limiti</t>
  </si>
  <si>
    <t>Km Birimi</t>
  </si>
  <si>
    <t>Aylık Net Fiyat (TL)</t>
  </si>
  <si>
    <t>Dahil Hizmetler</t>
  </si>
  <si>
    <t>Kaynak URL</t>
  </si>
  <si>
    <t>Kaynak Tarihi</t>
  </si>
  <si>
    <t>KF-0006</t>
  </si>
  <si>
    <t>RENAULT</t>
  </si>
  <si>
    <t>Clio V</t>
  </si>
  <si>
    <t>B-Segment Hatchback</t>
  </si>
  <si>
    <t>Manuel</t>
  </si>
  <si>
    <t>Aylık</t>
  </si>
  <si>
    <t>Aylık 4.000 km; periyodik bakım; yedek araç desteği</t>
  </si>
  <si>
    <t>KF-0028</t>
  </si>
  <si>
    <t>Fleet Intelligence</t>
  </si>
  <si>
    <t>Clio Evolution 1.0 TCe X-Tronic 90 HP</t>
  </si>
  <si>
    <t>Otomatik</t>
  </si>
  <si>
    <t>Sözleşmeye göre</t>
  </si>
  <si>
    <t>Trafik sigortası, kasko, MTV; bakım ve filo yönetimi</t>
  </si>
  <si>
    <t>KF-0061</t>
  </si>
  <si>
    <t>Garenta</t>
  </si>
  <si>
    <t>Toplam</t>
  </si>
  <si>
    <t>Vergi, trafik sigortası/kasko, bakım-onarım, yol yardım</t>
  </si>
  <si>
    <t>KF-0094</t>
  </si>
  <si>
    <t>Clio Evolution 1.0 TCe X-Tronic 90</t>
  </si>
  <si>
    <t>Operasyonel kiralama hizmetleri; kasko/sigorta ve bakım pakete göre</t>
  </si>
  <si>
    <t>KF-0115</t>
  </si>
  <si>
    <t>Avis</t>
  </si>
  <si>
    <t>Clio Manuel</t>
  </si>
  <si>
    <t>Belirtilmemiş</t>
  </si>
  <si>
    <t>Kampanya şartlarına göre</t>
  </si>
  <si>
    <t>https://www.avis.com.tr/kurumsal-kisa-donem-arac-kiralama-edenred</t>
  </si>
  <si>
    <t>KF-0155</t>
  </si>
  <si>
    <t>Premium Kiralama</t>
  </si>
  <si>
    <t>Clio Benzin Hatch</t>
  </si>
  <si>
    <t>İlanda '10.000 km / 24 ay'</t>
  </si>
  <si>
    <t>Operasyonel kiralama paketi teklife göre</t>
  </si>
  <si>
    <t>https://www.premiumkiralama.com/araclar</t>
  </si>
  <si>
    <t>KF-0157</t>
  </si>
  <si>
    <t>Filogo</t>
  </si>
  <si>
    <t>Clio Evolution</t>
  </si>
  <si>
    <t>Bakım, onarım, sigorta, yol yardım, 7/24 destek</t>
  </si>
  <si>
    <t>https://www.filogo.com/</t>
  </si>
  <si>
    <t>KF-0162</t>
  </si>
  <si>
    <t>Aylık paket</t>
  </si>
  <si>
    <t>Kurumsal aylık kira paketine göre</t>
  </si>
  <si>
    <t>KF-0192</t>
  </si>
  <si>
    <t>Enterprise Türkiye</t>
  </si>
  <si>
    <t>Clio Benzinli Otomatik</t>
  </si>
  <si>
    <t>Aylık 4.000 km; kampanya şartlarına göre</t>
  </si>
  <si>
    <t>https://www.enterprise.com.tr/kampanyalar/kurumsal-kiralama-avantaji</t>
  </si>
  <si>
    <t>KF-0195</t>
  </si>
  <si>
    <t>SIXT+</t>
  </si>
  <si>
    <t>Clio Sedan</t>
  </si>
  <si>
    <t>B-Segment Sedan</t>
  </si>
  <si>
    <t>Yakıt hariç abonelik hizmetleri; 2.000 km/ay</t>
  </si>
  <si>
    <t>https://www.sixt.com.tr/plus</t>
  </si>
  <si>
    <t>KF-0204</t>
  </si>
  <si>
    <t>Filo Rent (filocar.net)</t>
  </si>
  <si>
    <t>Sitede sınırsız km paketi ifadesi</t>
  </si>
  <si>
    <t>Tam kasko, bakım, sigorta, lastik değişimi, 7/24 destek</t>
  </si>
  <si>
    <t>https://www.filocar.net/</t>
  </si>
  <si>
    <t>KF-0219</t>
  </si>
  <si>
    <t>Ayvens Türkiye / Tıkla Kirala</t>
  </si>
  <si>
    <t>Yıllık</t>
  </si>
  <si>
    <t>Yol yardım, bakım, ikame, hasar yönetimi, HGS cihazı, lastik, vergi, trafik sigortası ve kasko</t>
  </si>
  <si>
    <t>https://www.tiklakirala.com/</t>
  </si>
  <si>
    <t>KF-0224</t>
  </si>
  <si>
    <t>KF-0228</t>
  </si>
  <si>
    <t>Operasyonel kiralama paketi</t>
  </si>
  <si>
    <t>KF-0239</t>
  </si>
  <si>
    <t>Zeplin Car Rental</t>
  </si>
  <si>
    <t>Full kiralık araç kaskosu, Mini Hasar, İMM, ikame; 3.000 km/ay</t>
  </si>
  <si>
    <t>https://www.zeplincar.com/aylik-arac-kiralama/aylik-elektrikli-mercedes-eqb</t>
  </si>
  <si>
    <t>KF-0038</t>
  </si>
  <si>
    <t>HYUNDAI</t>
  </si>
  <si>
    <t>i20 1.0 T-GDI 90 7DCT Jump</t>
  </si>
  <si>
    <t>KF-0057</t>
  </si>
  <si>
    <t>KF-0062</t>
  </si>
  <si>
    <t>Yıllık/ilan ifadesi</t>
  </si>
  <si>
    <t>KF-0079</t>
  </si>
  <si>
    <t>i20 1.0 T-GDI 90 Jump</t>
  </si>
  <si>
    <t>Yarı Otomatik</t>
  </si>
  <si>
    <t>KF-0164</t>
  </si>
  <si>
    <t>KF-0206</t>
  </si>
  <si>
    <t>KF-0216</t>
  </si>
  <si>
    <t>i20 1.4 MPI 100 PS Jump</t>
  </si>
  <si>
    <t>KF-0064</t>
  </si>
  <si>
    <t>OPEL</t>
  </si>
  <si>
    <t>Corsa Hybrid</t>
  </si>
  <si>
    <t>Hibrit</t>
  </si>
  <si>
    <t>KF-0080</t>
  </si>
  <si>
    <t>Corsa Hybrid 1.2 100 e-DCT6 Edition</t>
  </si>
  <si>
    <t>KF-0124</t>
  </si>
  <si>
    <t>TURKRENT</t>
  </si>
  <si>
    <t>Corsa 1.2 Edition Hybrid 100</t>
  </si>
  <si>
    <t>Drivee; servis ağı; 7/24 destek; ikame; lastik değişimi; HGS cihazı</t>
  </si>
  <si>
    <t>https://turkrent.com.tr/uzun-donem-arac-kiralama/</t>
  </si>
  <si>
    <t>KF-0001</t>
  </si>
  <si>
    <t>FIAT</t>
  </si>
  <si>
    <t>Egea</t>
  </si>
  <si>
    <t>C-Segment Sedan</t>
  </si>
  <si>
    <t>KF-0055</t>
  </si>
  <si>
    <t>Hedef Filo</t>
  </si>
  <si>
    <t>Egea 1.6 MJet II DS 130 Easy GSR</t>
  </si>
  <si>
    <t>Paket içeriği müşteri tarafından seçiliyor; filo operasyon hizmetleri</t>
  </si>
  <si>
    <t>KF-0093</t>
  </si>
  <si>
    <t>Egea 1.6 MJet 130 Easy GSR DCT</t>
  </si>
  <si>
    <t>KF-0116</t>
  </si>
  <si>
    <t>Egea Sedan Otomatik</t>
  </si>
  <si>
    <t>KF-0166</t>
  </si>
  <si>
    <t>Egea AT</t>
  </si>
  <si>
    <t>KF-0194</t>
  </si>
  <si>
    <t>KF-0199</t>
  </si>
  <si>
    <t>KF-0205</t>
  </si>
  <si>
    <t>KF-0240</t>
  </si>
  <si>
    <t>KF-0176</t>
  </si>
  <si>
    <t>SKODA</t>
  </si>
  <si>
    <t>KF-0043</t>
  </si>
  <si>
    <t>TOYOTA</t>
  </si>
  <si>
    <t>Corolla 1.5 Vision Plus 125</t>
  </si>
  <si>
    <t>KF-0049</t>
  </si>
  <si>
    <t>Corolla 1.5 Dream Multidrive S</t>
  </si>
  <si>
    <t>KF-0039</t>
  </si>
  <si>
    <t>Corolla 1.8 Hybrid Dream 140</t>
  </si>
  <si>
    <t>KF-0048</t>
  </si>
  <si>
    <t>Corolla Hybrid Flame X-Pack e-CVT</t>
  </si>
  <si>
    <t>KF-0090</t>
  </si>
  <si>
    <t>Corolla Hybrid Dream e-CVT</t>
  </si>
  <si>
    <t>KF-0133</t>
  </si>
  <si>
    <t>Corolla 1.8 Hybrid Dream e-CVT</t>
  </si>
  <si>
    <t>KF-0153</t>
  </si>
  <si>
    <t>Corolla Hybrid Sedan</t>
  </si>
  <si>
    <t>KF-0158</t>
  </si>
  <si>
    <t>Corolla Hybrid</t>
  </si>
  <si>
    <t>KF-0030</t>
  </si>
  <si>
    <t>Megane Touch 1.3 TCe EDC 140</t>
  </si>
  <si>
    <t>KF-0087</t>
  </si>
  <si>
    <t>Megane Sedan Touch 1.3 TCe 140 EDC</t>
  </si>
  <si>
    <t>KF-0128</t>
  </si>
  <si>
    <t>Megane 1.3 Touch EDC 140</t>
  </si>
  <si>
    <t>KF-0154</t>
  </si>
  <si>
    <t>Megane Benzin Sedan</t>
  </si>
  <si>
    <t>KF-0180</t>
  </si>
  <si>
    <t>Megane</t>
  </si>
  <si>
    <t>KF-0201</t>
  </si>
  <si>
    <t>KF-0211</t>
  </si>
  <si>
    <t>KF-0034</t>
  </si>
  <si>
    <t>Octavia Premium 1.5 TSI mHEV 150 DSG</t>
  </si>
  <si>
    <t>C-Segment Sedan / Liftback</t>
  </si>
  <si>
    <t>Mild Hibrit</t>
  </si>
  <si>
    <t>KF-0051</t>
  </si>
  <si>
    <t>Octavia 1.5 TSI MHEV 150 Premium DSG</t>
  </si>
  <si>
    <t>KF-0088</t>
  </si>
  <si>
    <t>KF-0221</t>
  </si>
  <si>
    <t>Octavia 1.5 TSI MHEV Premium DSG</t>
  </si>
  <si>
    <t>KF-0223</t>
  </si>
  <si>
    <t>KF-0230</t>
  </si>
  <si>
    <t>KF-0035</t>
  </si>
  <si>
    <t>Superb Prestige 1.5 TSI mHEV 150 DSG</t>
  </si>
  <si>
    <t>D-Segment Sedan / Liftback</t>
  </si>
  <si>
    <t>KF-0089</t>
  </si>
  <si>
    <t>Superb 1.5 TSI MHEV Premium DSG</t>
  </si>
  <si>
    <t>KF-0210</t>
  </si>
  <si>
    <t>KF-0233</t>
  </si>
  <si>
    <t>KF-0063</t>
  </si>
  <si>
    <t>KF-0078</t>
  </si>
  <si>
    <t>Bayon 1.0 T-GDI 90 Style DCT</t>
  </si>
  <si>
    <t>KF-0238</t>
  </si>
  <si>
    <t>KF-0041</t>
  </si>
  <si>
    <t>VOLKSWAGEN</t>
  </si>
  <si>
    <t>Taigo Life 1.0 TSI DSG</t>
  </si>
  <si>
    <t>KF-0045</t>
  </si>
  <si>
    <t>Taigo 1.0 TSI 116 Life DSG</t>
  </si>
  <si>
    <t>KF-0174</t>
  </si>
  <si>
    <t>KF-0218</t>
  </si>
  <si>
    <t>Taigo 1.0 TSI 110 Life DSG</t>
  </si>
  <si>
    <t>KF-0220</t>
  </si>
  <si>
    <t>KF-0222</t>
  </si>
  <si>
    <t>KF-0040</t>
  </si>
  <si>
    <t>Frontera Hybrid 1.2 145 e-DCT6 Edition</t>
  </si>
  <si>
    <t>KF-0082</t>
  </si>
  <si>
    <t>Frontera Hybrid 1.2 145 Edition</t>
  </si>
  <si>
    <t>KF-0071</t>
  </si>
  <si>
    <t>PEUGEOT</t>
  </si>
  <si>
    <t>KF-0083</t>
  </si>
  <si>
    <t>2008 Allure Hybrid 145 e-DCS6</t>
  </si>
  <si>
    <t>KF-0129</t>
  </si>
  <si>
    <t>2008 1.2 Allure Hybrid 145</t>
  </si>
  <si>
    <t>KF-0005</t>
  </si>
  <si>
    <t>DACIA</t>
  </si>
  <si>
    <t>KF-0215</t>
  </si>
  <si>
    <t>KF-0007</t>
  </si>
  <si>
    <t>NISSAN</t>
  </si>
  <si>
    <t>KF-0036</t>
  </si>
  <si>
    <t>Qashqai 1.3 DIG-T Mild Hybrid 158 Auto Designpack</t>
  </si>
  <si>
    <t>KF-0203</t>
  </si>
  <si>
    <t>KF-0227</t>
  </si>
  <si>
    <t>Qashqai 1.3 DIG-T 158 X-Tronic</t>
  </si>
  <si>
    <t>KF-0042</t>
  </si>
  <si>
    <t>3008 1.2 Hybrid 145 e-DCT6 Allure</t>
  </si>
  <si>
    <t>KF-0085</t>
  </si>
  <si>
    <t>3008 Allure Hybrid 145 e-DCS6</t>
  </si>
  <si>
    <t>KF-0130</t>
  </si>
  <si>
    <t>3008 Allure 1.2 Hybrid 145</t>
  </si>
  <si>
    <t>KF-0160</t>
  </si>
  <si>
    <t>3008 SUV Hybrid</t>
  </si>
  <si>
    <t>KF-0193</t>
  </si>
  <si>
    <t>3008 Hybrid Otomatik</t>
  </si>
  <si>
    <t>KF-0044</t>
  </si>
  <si>
    <t>T-Roc Life 1.5 eTSI ACT 150 DSG</t>
  </si>
  <si>
    <t>KF-0187</t>
  </si>
  <si>
    <t>KF-0229</t>
  </si>
  <si>
    <t>KF-0046</t>
  </si>
  <si>
    <t>Austral Techno Mild Hybrid 150 Auto</t>
  </si>
  <si>
    <t>KF-0121</t>
  </si>
  <si>
    <t>KF-0058</t>
  </si>
  <si>
    <t>KIA</t>
  </si>
  <si>
    <t>KF-0231</t>
  </si>
  <si>
    <t>KF-0086</t>
  </si>
  <si>
    <t>408 Allure 1.2 Hybrid 145 e-DCS6</t>
  </si>
  <si>
    <t>C-Segment Crossover / Fastback</t>
  </si>
  <si>
    <t>KF-0131</t>
  </si>
  <si>
    <t>408 1.2 Allure Hybrid</t>
  </si>
  <si>
    <t>KF-0139</t>
  </si>
  <si>
    <t>Voltify</t>
  </si>
  <si>
    <t>TESLA</t>
  </si>
  <si>
    <t>Model Y RWD Standard</t>
  </si>
  <si>
    <t>D-SUV (Premium)</t>
  </si>
  <si>
    <t>Elektrikli araç odaklı operasyonel kiralama; hizmet içeriği teklife göre</t>
  </si>
  <si>
    <t>KF-0145</t>
  </si>
  <si>
    <t>Model Y RWD</t>
  </si>
  <si>
    <t>KF-0148</t>
  </si>
  <si>
    <t>Yeni Model Y RWD</t>
  </si>
  <si>
    <t>KF-0149</t>
  </si>
  <si>
    <t>Model Y Premium RWD</t>
  </si>
  <si>
    <t>KF-0159</t>
  </si>
  <si>
    <t>KF-0060</t>
  </si>
  <si>
    <t>KF-0144</t>
  </si>
  <si>
    <t>EV3 Long Range</t>
  </si>
  <si>
    <t>KF-0073</t>
  </si>
  <si>
    <t>320i Sport Line</t>
  </si>
  <si>
    <t>D-Segment Sedan (Premium)</t>
  </si>
  <si>
    <t>KF-0156</t>
  </si>
  <si>
    <t>KF-0161</t>
  </si>
  <si>
    <t>KF-0234</t>
  </si>
  <si>
    <t>KF-0032</t>
  </si>
  <si>
    <t>Doblo Cargo 100 HP BlueHDi E6E BIS</t>
  </si>
  <si>
    <t>Kompakt Hafif Ticari / Cargo</t>
  </si>
  <si>
    <t>KF-0097</t>
  </si>
  <si>
    <t>Doblo Cargo Maxi 1.5 100 BlueHDi</t>
  </si>
  <si>
    <t>KF-0122</t>
  </si>
  <si>
    <t>Doblo Cargo 1.5 BlueHDi</t>
  </si>
  <si>
    <t>KF-0029</t>
  </si>
  <si>
    <t>Doblo Combi 1.5 BlueHDi 130 HP AT Easy</t>
  </si>
  <si>
    <t>Kompakt Hafif Ticari / Combi</t>
  </si>
  <si>
    <t>KF-0031</t>
  </si>
  <si>
    <t>Doblo Combi 1.5 BlueHDi 130 HP MT Easy</t>
  </si>
  <si>
    <t>KF-0056</t>
  </si>
  <si>
    <t>Doblo Combi Easy 1.5 130 BlueHDi</t>
  </si>
  <si>
    <t>KF-0096</t>
  </si>
  <si>
    <t>Doblo Combi Easy 1.5 130 BlueHDi AT</t>
  </si>
  <si>
    <t>KF-0098</t>
  </si>
  <si>
    <t>Doblo Combi Easy 1.5 130 BlueHDi MT</t>
  </si>
  <si>
    <t>KF-0123</t>
  </si>
  <si>
    <t>Doblo Combi 1.5 BlueHDi</t>
  </si>
  <si>
    <t>KF-0168</t>
  </si>
  <si>
    <t>KF-0017</t>
  </si>
  <si>
    <t>Scudo</t>
  </si>
  <si>
    <t>KF-0033</t>
  </si>
  <si>
    <t>Scudo Van Standart Business L2 1.5</t>
  </si>
  <si>
    <t>KF-0100</t>
  </si>
  <si>
    <t>Scudo Van Std L2 Business 1.5 120</t>
  </si>
  <si>
    <t>KF-0101</t>
  </si>
  <si>
    <t>FORD</t>
  </si>
  <si>
    <t>Tourneo Courier 1.0 EcoBoost 100 Titanium</t>
  </si>
  <si>
    <t>Mini Hafif Ticari / Combi</t>
  </si>
  <si>
    <t>KF-0102</t>
  </si>
  <si>
    <t>Tourneo Courier 1.0 EcoBoost 100 Titanium (2023)</t>
  </si>
  <si>
    <t>KF-0103</t>
  </si>
  <si>
    <t>Tourneo Courier 1.0 EcoBoost 100 Titanium Plus</t>
  </si>
  <si>
    <t>KF-0104</t>
  </si>
  <si>
    <t>Tourneo Courier 1.5 EcoBlue 100 Deluxe</t>
  </si>
  <si>
    <t>KF-0110</t>
  </si>
  <si>
    <t>Transit Custom 2.0 136 320S Van Trend</t>
  </si>
  <si>
    <t>KF-0109</t>
  </si>
  <si>
    <t>Transit Custom 2.0 136 320L Van Trend</t>
  </si>
  <si>
    <t>KF-0111</t>
  </si>
  <si>
    <t>Transit Custom 2.0 150 320L Van Deluxe</t>
  </si>
  <si>
    <t>KF-0022</t>
  </si>
  <si>
    <t>Transit</t>
  </si>
  <si>
    <t>KF-0107</t>
  </si>
  <si>
    <t>Transit 350M 9.5m3 2.0 130 Trend</t>
  </si>
  <si>
    <t>KF-0106</t>
  </si>
  <si>
    <t>Transit 350L 11m3 2.0 165 Deluxe</t>
  </si>
  <si>
    <t>KF-0105</t>
  </si>
  <si>
    <t>Transit 350E 15.1m3 2.0 165 J Trend</t>
  </si>
  <si>
    <t>KF-0011</t>
  </si>
  <si>
    <t>CITROEN</t>
  </si>
  <si>
    <t>Berlingo</t>
  </si>
  <si>
    <t>KF-0019</t>
  </si>
  <si>
    <t>Ducato</t>
  </si>
  <si>
    <t>KF-0099</t>
  </si>
  <si>
    <t>Ducato Van Maxi 13m3 2.2 140</t>
  </si>
  <si>
    <t>Kalite Filo | Web Görsel Havuzu ve Lisans Kontrolü</t>
  </si>
  <si>
    <t>Wikimedia Commons görselleri web için adaydır; 'Commons dosya sayfası' üzerindeki lisans/atıf koşulu yayın öncesi kontrol edilmeden ticari sitede kullanılmamalıdır. Önizleme IMAGE() fonksiyonuyla internet üzerinden yüklenir.</t>
  </si>
  <si>
    <t>Önizleme</t>
  </si>
  <si>
    <t>Doğrudan Görsel URL</t>
  </si>
  <si>
    <t>Commons Dosya Sayfası</t>
  </si>
  <si>
    <t>Lisans / Yayın Durumu</t>
  </si>
  <si>
    <t>Atıf Notu</t>
  </si>
  <si>
    <t>Görsel Eşleşme Notu</t>
  </si>
  <si>
    <t>Önerilen Alt Text</t>
  </si>
  <si>
    <t>https://commons.wikimedia.org/wiki/File:Renault_Clio_V_(2023)_1X7A1577.jpg</t>
  </si>
  <si>
    <t>KONTROL GEREKLİ</t>
  </si>
  <si>
    <t>Dosya sayfasındaki lisans türü, eser sahibi ve gerekli atıf metni yayın öncesi kaydedilmeli.</t>
  </si>
  <si>
    <t>Model/kasa görseli. Donanım, jant, renk ve ülke spesifikasyonu farklı olabilir.</t>
  </si>
  <si>
    <t>Renault Clio Evolution 1.0 TCe X-Tronic 90 kurumsal uzun dönem kiralama</t>
  </si>
  <si>
    <t>https://commons.wikimedia.org/wiki/File:Hyundai_i20_(BC3)_Facelift_IMG_8591.jpg</t>
  </si>
  <si>
    <t>Hyundai i20 1.0 T-GDI 90 7DCT Jump kurumsal uzun dönem kiralama</t>
  </si>
  <si>
    <t>https://commons.wikimedia.org/wiki/File:2023_Opel_Corsa_F_Hybrid_IMG_8487.jpg</t>
  </si>
  <si>
    <t>Opel Corsa Hybrid 1.2 110 (100 HP) e-DCT6 Edition kurumsal uzun dönem kiralama</t>
  </si>
  <si>
    <t>https://commons.wikimedia.org/wiki/File:Fiat_Tipo_1.4_Sedan_(49182414416).jpg</t>
  </si>
  <si>
    <t>Görsel uluslararası pazarda aynı kasa 'Fiat Tipo Sedan' adıyla yer alan Egea gövdesini temsil eder.</t>
  </si>
  <si>
    <t>Fiat Egea Sedan Urban 1.6 M.Jet 130 DCT kurumsal uzun dönem kiralama</t>
  </si>
  <si>
    <t>https://commons.wikimedia.org/wiki/File:%C5%A0koda_Kamiq_Facelift_IMG_8638.jpg</t>
  </si>
  <si>
    <t>Škoda Kamiq 1.0 TSI 115 DSG Premium FL kurumsal uzun dönem kiralama</t>
  </si>
  <si>
    <t>https://commons.wikimedia.org/wiki/File:TOYOTA_COROLLA_SEDAN_(E210)_China_(9).jpg</t>
  </si>
  <si>
    <t>Toyota Corolla Sedan 1.5 Dream X-Pack Multidrive S kurumsal uzun dönem kiralama</t>
  </si>
  <si>
    <t>https://commons.wikimedia.org/wiki/File:Toyota_Corolla_Hybrid_Sedan,_GIMS_2019,_Le_Grand-Saconnex_(GIMS1338).jpg</t>
  </si>
  <si>
    <t>Toyota Corolla Sedan 1.8 Hybrid Dream e-CVT 140 kurumsal uzun dönem kiralama</t>
  </si>
  <si>
    <t>https://commons.wikimedia.org/wiki/File:Renault_Megane_IV_Sedan_1X7A0227.jpg</t>
  </si>
  <si>
    <t>Renault Megane Sedan Touch 1.3 TCe EDC 140 kurumsal uzun dönem kiralama</t>
  </si>
  <si>
    <t>https://commons.wikimedia.org/wiki/File:Skoda_Octavia_IV_liftback_(cropped).jpg</t>
  </si>
  <si>
    <t>Škoda Octavia Premium 1.5 TSI mHEV 150 DSG kurumsal uzun dönem kiralama</t>
  </si>
  <si>
    <t>https://commons.wikimedia.org/wiki/File:%C5%A0koda_Superb_IV.jpg</t>
  </si>
  <si>
    <t>Škoda Superb Prestige 1.5 TSI mHEV 150 DSG kurumsal uzun dönem kiralama</t>
  </si>
  <si>
    <t>https://commons.wikimedia.org/wiki/File:Hyundai_Bayon_1.0_T-GDI_Prime_(Facelift)_%E2%80%93_f_07072024.jpg</t>
  </si>
  <si>
    <t>Hyundai Bayon 1.0 T-GDI 90 Style DCT kurumsal uzun dönem kiralama</t>
  </si>
  <si>
    <t>https://commons.wikimedia.org/wiki/File:2023_Volkswagen_Taigo_Life_TSI_-_999cc_1.0_(110PS)_Petrol_-_Ascot_Grey_-_05-2024,_Front.jpg</t>
  </si>
  <si>
    <t>Volkswagen Taigo Life 1.0 TSI 116 DSG kurumsal uzun dönem kiralama</t>
  </si>
  <si>
    <t>https://commons.wikimedia.org/wiki/File:Opel_Frontera_2024.jpg</t>
  </si>
  <si>
    <t>Opel Frontera Hybrid 1.2 145 e-DCT6 Edition kurumsal uzun dönem kiralama</t>
  </si>
  <si>
    <t>https://commons.wikimedia.org/wiki/File:2024_Peugeot_2008_PureTech_130_Allure_(Front).jpg</t>
  </si>
  <si>
    <t>Görsel PureTech 2008 gövdesidir; Hybrid 145 ile dış tasarım/kasa temsilidir, motor etiketi temsilîdir.</t>
  </si>
  <si>
    <t>Peugeot 2008 Allure Hybrid 145 eDCS6 kurumsal uzun dönem kiralama</t>
  </si>
  <si>
    <t>https://commons.wikimedia.org/wiki/File:Dacia_Duster_III_IMG_8973.jpg</t>
  </si>
  <si>
    <t>Görsel Dacia Duster III markalamasına aittir; Türkiye Renault Duster ilanında aynı kasa için temsilî görseldir. Yayında marka rozeti uyumu kontrol edilmeli.</t>
  </si>
  <si>
    <t>Renault Duster Turbo TCe EDC 145 kurumsal uzun dönem kiralama</t>
  </si>
  <si>
    <t>https://commons.wikimedia.org/wiki/File:2024_Nissan_Qashqai_(J12)_IMG_1142.jpg</t>
  </si>
  <si>
    <t>Nissan Qashqai 1.3 DIG-T Mild Hybrid 158 X-Tronic Designpack kurumsal uzun dönem kiralama</t>
  </si>
  <si>
    <t>https://commons.wikimedia.org/wiki/File:Peugeot_3008_C_IMG_9394.jpg</t>
  </si>
  <si>
    <t>Peugeot 3008 Allure 1.2 Hybrid 145 eDCS6 kurumsal uzun dönem kiralama</t>
  </si>
  <si>
    <t>https://commons.wikimedia.org/wiki/File:Volkswagen_T-Roc_II_IAA_2025_DSC_2028.jpg</t>
  </si>
  <si>
    <t>Volkswagen T-Roc Life 1.5 eTSI 150 DSG kurumsal uzun dönem kiralama</t>
  </si>
  <si>
    <t>https://commons.wikimedia.org/wiki/File:Renault_Austral_facelift_Wit_Bochane.jpg</t>
  </si>
  <si>
    <t>Renault Austral Techno Mild Hybrid 150 Auto kurumsal uzun dönem kiralama</t>
  </si>
  <si>
    <t>https://commons.wikimedia.org/wiki/File:Kia_Sportage_1.6T_2WD_Signature_NQ5_PE_Snow_White_Pearl_(3)_(cropped).jpg</t>
  </si>
  <si>
    <t>Kia Sportage 1.6L T-GDI 150 PS DCT kurumsal uzun dönem kiralama</t>
  </si>
  <si>
    <t>https://commons.wikimedia.org/wiki/File:Peugeot_408_(2024)_(53971759965).jpg</t>
  </si>
  <si>
    <t>Peugeot 408 Allure Hybrid 145 eDCS6 kurumsal uzun dönem kiralama</t>
  </si>
  <si>
    <t>https://commons.wikimedia.org/wiki/File:2025_Tesla_Model_Y_Juniper_Long_Range_RWD.jpg</t>
  </si>
  <si>
    <t>Görsel güncel Juniper Model Y RWD gövdesidir; seçilen RWD donanım/batarya alt varyantı temsilî olabilir.</t>
  </si>
  <si>
    <t>Tesla Model Y RWD kurumsal uzun dönem kiralama</t>
  </si>
  <si>
    <t>https://commons.wikimedia.org/wiki/File:Kia_EV3_GT-Line_Automesse_Ludwigsburg_2024_IMG_1353.jpg</t>
  </si>
  <si>
    <t>Görsel EV3 GT-Line gövdesidir; portföydeki Cool Long Range için kasa temsilidir.</t>
  </si>
  <si>
    <t>Kia EV3 Cool Long Range 150 kW kurumsal uzun dönem kiralama</t>
  </si>
  <si>
    <t>https://commons.wikimedia.org/wiki/File:BMW_G20_320i_Luxury_Line_Alpine_White_(3).jpg</t>
  </si>
  <si>
    <t>BMW 320i Sedan 320i kurumsal uzun dönem kiralama</t>
  </si>
  <si>
    <t>https://commons.wikimedia.org/wiki/File:2024_Fiat_Dobl%C3%B2_Mk3_IMG_2388.jpg</t>
  </si>
  <si>
    <t>Fiat Doblo Cargo 1.5 BlueHDi 100 6MT kurumsal uzun dönem kiralama</t>
  </si>
  <si>
    <t>https://commons.wikimedia.org/wiki/File:Fiat_Doblo,_BAS_24,_Brussels_(P1170399-RR).jpg</t>
  </si>
  <si>
    <t>Fiat Doblo Combi 1.5 BlueHDi 130 AT Easy kurumsal uzun dönem kiralama</t>
  </si>
  <si>
    <t>https://commons.wikimedia.org/wiki/File:Fiat_Scudo_(2024)_DSC_8323.jpg</t>
  </si>
  <si>
    <t>Fiat Scudo Van Standard Business L2 1.5 120 kurumsal uzun dönem kiralama</t>
  </si>
  <si>
    <t>https://commons.wikimedia.org/wiki/File:Ford_Tourneo_Courier_(2nd_generation)_IMG_9660.jpg</t>
  </si>
  <si>
    <t>Ford Tourneo Courier 1.0 EcoBoost 125 7DCT kurumsal uzun dönem kiralama</t>
  </si>
  <si>
    <t>https://commons.wikimedia.org/wiki/File:2024_Ford_Transit_Custom_Limited_TDCi_-_1996cc_2.0_(136PS)_Diesel_-_Artisan_Red_-_08-2024,_Front.jpg</t>
  </si>
  <si>
    <t>Ford Transit Custom Van 2.0 EcoBlue 136 320L Van Trend kurumsal uzun dönem kiralama</t>
  </si>
  <si>
    <t>https://commons.wikimedia.org/wiki/File:2023_Ford_Transit_T-350HD_XL_high_roof_extended_length_passenger_van,_front_left,_09-28-2024.jpg</t>
  </si>
  <si>
    <t>Görsel güncel Transit platformunu temsil eder; 350M 9.5 m³ Türkiye gövde/trim birebir eşleşmesi değildir.</t>
  </si>
  <si>
    <t>Ford Transit Van 350M 9.5 m³ 2.0 EcoBlue 130 Trend kurumsal uzun dönem kiralama</t>
  </si>
  <si>
    <t>https://commons.wikimedia.org/wiki/File:2024_Citro%C3%ABn_Berlingo_III_IMG_1130.jpg</t>
  </si>
  <si>
    <t>Citroën Berlingo Van 1.5 BlueHDi 100 6MT kurumsal uzun dönem kiralama</t>
  </si>
  <si>
    <t>https://commons.wikimedia.org/wiki/File:2024_Fiat_Ducato_DSC_7199.jpg</t>
  </si>
  <si>
    <t>Fiat Ducato Van Maxi 13 m³ 2.2 Multijet 140 6MT kurumsal uzun dönem kiralama</t>
  </si>
  <si>
    <t>Kalite Filo | İlan, SEO ve İçerik Alanları</t>
  </si>
  <si>
    <t>Metinler Kalite Filo için özgün çalışma metinleridir. Yayın öncesi fiyat, stok, model yılı ve teknik veriyle birlikte editoryal kontrolden geçirilmelidir.</t>
  </si>
  <si>
    <t>Kısa Açıklama</t>
  </si>
  <si>
    <t>SEO Meta Title</t>
  </si>
  <si>
    <t>SEO Meta Description</t>
  </si>
  <si>
    <t>Öne Çıkan 1</t>
  </si>
  <si>
    <t>Öne Çıkan 2</t>
  </si>
  <si>
    <t>Öne Çıkan 3</t>
  </si>
  <si>
    <t>Öne Çıkan 4</t>
  </si>
  <si>
    <t>Öne Çıkan 5</t>
  </si>
  <si>
    <t>CTA</t>
  </si>
  <si>
    <t>Renault Clio Evolution 1.0 TCe X-Tronic 90; saha ekipleri, şehir içi operasyon ve ekonomik yönetici havuzu için seçilmiş, benzin ve x-tronic otomatik kombinasyonuna sahip kurumsal filo seçeneğidir.</t>
  </si>
  <si>
    <t>Renault Clio Kiralama | Kalite Filo</t>
  </si>
  <si>
    <t>Renault Clio Evolution 1.0 TCe X-Tronic 90 için uzun dönem kurumsal araç kiralama. Teknik özellikleri, fiyat benchmarkı ve teklif bilgilerini inceleyin.</t>
  </si>
  <si>
    <t>Kompakt şehir boyutu</t>
  </si>
  <si>
    <t>Otomatik şanzıman</t>
  </si>
  <si>
    <t>391 L bagaj</t>
  </si>
  <si>
    <t>Düşük yakıt tüketimi</t>
  </si>
  <si>
    <t>Geniş servis ağı</t>
  </si>
  <si>
    <t>Hyundai i20 1.0 T-GDI 90 7DCT Jump; şehir içi saha ekipleri ve operasyon filosu için seçilmiş, benzin ve 7dct otomatik kombinasyonuna sahip kurumsal filo seçeneğidir.</t>
  </si>
  <si>
    <t>Hyundai i20 Kiralama | Kalite Filo</t>
  </si>
  <si>
    <t>Hyundai i20 1.0 T-GDI 90 7DCT Jump için uzun dönem kurumsal araç kiralama. Teknik özellikleri, fiyat benchmarkı ve teklif bilgilerini inceleyin.</t>
  </si>
  <si>
    <t>Turbo benzinli motor</t>
  </si>
  <si>
    <t>Kompakt ölçüler</t>
  </si>
  <si>
    <t>352 L bagaj</t>
  </si>
  <si>
    <t>Kurumsal kullanım odaklı</t>
  </si>
  <si>
    <t>Opel Corsa Hybrid 1.2 110 (100 HP) e-DCT6 Edition; düşük tüketim hedefli şehir içi şirket aracı için seçilmiş, benzin / mild hybrid ve e-dct6 otomatik kombinasyonuna sahip kurumsal filo seçeneğidir.</t>
  </si>
  <si>
    <t>Opel Corsa Kiralama | Kalite Filo</t>
  </si>
  <si>
    <t>Opel Corsa Hybrid 1.2 110 (100 HP) e-DCT6 Edition için uzun dönem kurumsal araç kiralama. Teknik özellikleri, fiyat benchmarkı ve teklif bilgilerini inceleyin</t>
  </si>
  <si>
    <t>Mild hybrid destek</t>
  </si>
  <si>
    <t>e-DCT6 otomatik</t>
  </si>
  <si>
    <t>Kompakt hatchback</t>
  </si>
  <si>
    <t>309 L bagaj</t>
  </si>
  <si>
    <t>Şehir içi verimlilik</t>
  </si>
  <si>
    <t>Fiat Egea Sedan Urban 1.6 M.Jet 130 DCT; yüksek kilometre yapan saha ve satış ekipleri için seçilmiş, dizel ve dct otomatik kombinasyonuna sahip kurumsal filo seçeneğidir.</t>
  </si>
  <si>
    <t>Fiat Egea Sedan Kiralama | Kalite Filo</t>
  </si>
  <si>
    <t>Fiat Egea Sedan Urban 1.6 M.Jet 130 DCT için uzun dönem kurumsal araç kiralama. Teknik özellikleri, fiyat benchmarkı ve teklif bilgilerini inceleyin.</t>
  </si>
  <si>
    <t>130 HP dizel</t>
  </si>
  <si>
    <t>DCT otomatik</t>
  </si>
  <si>
    <t>520 L bagaj</t>
  </si>
  <si>
    <t>Uzun yol ekonomisi</t>
  </si>
  <si>
    <t>Yaygın servis erişimi</t>
  </si>
  <si>
    <t>Škoda Kamiq 1.0 TSI 115 DSG Premium FL; kompakt suv isteyen yönetici ve saha ekipleri için seçilmiş, benzin ve dsg otomatik kombinasyonuna sahip kurumsal filo seçeneğidir.</t>
  </si>
  <si>
    <t>Škoda Kamiq Kiralama | Kalite Filo</t>
  </si>
  <si>
    <t>Škoda Kamiq 1.0 TSI 115 DSG Premium FL için uzun dönem kurumsal araç kiralama. Teknik özellikleri, fiyat benchmarkı ve teklif bilgilerini inceleyin.</t>
  </si>
  <si>
    <t>DSG otomatik</t>
  </si>
  <si>
    <t>Yüksek oturma pozisyonu</t>
  </si>
  <si>
    <t>400 L bagaj</t>
  </si>
  <si>
    <t>Kompakt SUV ölçüsü</t>
  </si>
  <si>
    <t>115 HP TSI</t>
  </si>
  <si>
    <t>Toyota Corolla Sedan 1.5 Dream X-Pack Multidrive S; standart kurumsal sedan, satış ve yönetici havuzu için seçilmiş, benzin ve multidrive s cvt kombinasyonuna sahip kurumsal filo seçeneğidir.</t>
  </si>
  <si>
    <t>Toyota Corolla Sedan Kiralama | Kalite Filo</t>
  </si>
  <si>
    <t>Toyota Corolla Sedan 1.5 Dream X-Pack Multidrive S için uzun dönem kurumsal araç kiralama. Teknik özellikleri, fiyat benchmarkı ve teklif bilgilerini inceleyi</t>
  </si>
  <si>
    <t>CVT otomatik</t>
  </si>
  <si>
    <t>471 L bagaj</t>
  </si>
  <si>
    <t>C sedan konforu</t>
  </si>
  <si>
    <t>125 HP benzinli</t>
  </si>
  <si>
    <t>Kurumsal filo standardı</t>
  </si>
  <si>
    <t>Toyota Corolla Sedan 1.8 Hybrid Dream e-CVT 140; yakıt ve emisyon optimizasyonu isteyen kurumsal sedan filosu için seçilmiş, tam hybrid ve e-cvt otomatik kombinasyonuna sahip kurumsal filo seçeneğidir.</t>
  </si>
  <si>
    <t>Toyota Corolla Sedan 1.8 Hybrid Dream e-CVT 140 için uzun dönem kurumsal araç kiralama. Teknik özellikleri, fiyat benchmarkı ve teklif bilgilerini inceleyin.</t>
  </si>
  <si>
    <t>5. nesil hybrid</t>
  </si>
  <si>
    <t>140 HP sistem gücü</t>
  </si>
  <si>
    <t>e-CVT</t>
  </si>
  <si>
    <t>4.6 L/100 km civarı WLTP</t>
  </si>
  <si>
    <t>Renault Megane Sedan Touch 1.3 TCe EDC 140; orta kademe yönetici, satış ve uzun yol kullanımı için seçilmiş, benzin ve 7 ileri edc otomatik kombinasyonuna sahip kurumsal filo seçeneğidir.</t>
  </si>
  <si>
    <t>Renault Megane Sedan Kiralama | Kalite Filo</t>
  </si>
  <si>
    <t>Renault Megane Sedan Touch 1.3 TCe EDC 140 için uzun dönem kurumsal araç kiralama. Teknik özellikleri, fiyat benchmarkı ve teklif bilgilerini inceleyin.</t>
  </si>
  <si>
    <t>140 HP turbo</t>
  </si>
  <si>
    <t>7 ileri EDC</t>
  </si>
  <si>
    <t>503 L bagaj</t>
  </si>
  <si>
    <t>C sedan kabin alanı</t>
  </si>
  <si>
    <t>Uzun yol odaklı</t>
  </si>
  <si>
    <t>Škoda Octavia Premium 1.5 TSI mHEV 150 DSG; yönetici aracı ve bagaj hacmi öncelikli uzun yol filosu için seçilmiş, benzin / mild hybrid ve dsg otomatik kombinasyonuna sahip kurumsal filo seçeneğidir.</t>
  </si>
  <si>
    <t>Škoda Octavia Kiralama | Kalite Filo</t>
  </si>
  <si>
    <t>Škoda Octavia Premium 1.5 TSI mHEV 150 DSG için uzun dönem kurumsal araç kiralama. Teknik özellikleri, fiyat benchmarkı ve teklif bilgilerini inceleyin.</t>
  </si>
  <si>
    <t>600 L bagaj</t>
  </si>
  <si>
    <t>150 HP mHEV</t>
  </si>
  <si>
    <t>Liftback pratikliği</t>
  </si>
  <si>
    <t>Premium filo alternatifi</t>
  </si>
  <si>
    <t>Škoda Superb Prestige 1.5 TSI mHEV 150 DSG; üst düzey yönetici ve uzun yol kurumsal kullanımı için seçilmiş, benzin / mild hybrid ve dsg otomatik kombinasyonuna sahip kurumsal filo seçeneğidir.</t>
  </si>
  <si>
    <t>Škoda Superb Kiralama | Kalite Filo</t>
  </si>
  <si>
    <t>Škoda Superb Prestige 1.5 TSI mHEV 150 DSG için uzun dönem kurumsal araç kiralama. Teknik özellikleri, fiyat benchmarkı ve teklif bilgilerini inceleyin.</t>
  </si>
  <si>
    <t>625 L bagaj</t>
  </si>
  <si>
    <t>D segment kabin alanı</t>
  </si>
  <si>
    <t>Prestige donanım</t>
  </si>
  <si>
    <t>Hyundai Bayon 1.0 T-GDI 90 Style DCT; şehir içi saha ekipleri için kompakt crossover için seçilmiş, benzin ve 7dct otomatik kombinasyonuna sahip kurumsal filo seçeneğidir.</t>
  </si>
  <si>
    <t>Hyundai Bayon Kiralama | Kalite Filo</t>
  </si>
  <si>
    <t>Hyundai Bayon 1.0 T-GDI 90 Style DCT için uzun dönem kurumsal araç kiralama. Teknik özellikleri, fiyat benchmarkı ve teklif bilgilerini inceleyin.</t>
  </si>
  <si>
    <t>7DCT otomatik</t>
  </si>
  <si>
    <t>411 L bagaj</t>
  </si>
  <si>
    <t>Kompakt crossover</t>
  </si>
  <si>
    <t>Turbo benzinli</t>
  </si>
  <si>
    <t>Kolay şehir içi kullanım</t>
  </si>
  <si>
    <t>Volkswagen Taigo Life 1.0 TSI 116 DSG; tasarım odaklı kompakt suv isteyen yönetici ve saha ekipleri için seçilmiş, benzin ve 7 ileri dsg kombinasyonuna sahip kurumsal filo seçeneğidir.</t>
  </si>
  <si>
    <t>Volkswagen Taigo Kiralama | Kalite Filo</t>
  </si>
  <si>
    <t>Volkswagen Taigo Life 1.0 TSI 116 DSG için uzun dönem kurumsal araç kiralama. Teknik özellikleri, fiyat benchmarkı ve teklif bilgilerini inceleyin.</t>
  </si>
  <si>
    <t>116 HP TSI</t>
  </si>
  <si>
    <t>438 L bagaj</t>
  </si>
  <si>
    <t>Coupé-SUV tasarımı</t>
  </si>
  <si>
    <t>Kompakt boyut</t>
  </si>
  <si>
    <t>Opel Frontera Hybrid 1.2 145 e-DCT6 Edition; aile/ekip kullanımı ve kompakt suv filosu için seçilmiş, benzin / mild hybrid ve e-dct6 otomatik kombinasyonuna sahip kurumsal filo seçeneğidir.</t>
  </si>
  <si>
    <t>Opel Frontera Kiralama | Kalite Filo</t>
  </si>
  <si>
    <t>Opel Frontera Hybrid 1.2 145 e-DCT6 Edition için uzun dönem kurumsal araç kiralama. Teknik özellikleri, fiyat benchmarkı ve teklif bilgilerini inceleyin.</t>
  </si>
  <si>
    <t>145 HP hybrid</t>
  </si>
  <si>
    <t>460 L bagaj</t>
  </si>
  <si>
    <t>C-SUV gövde</t>
  </si>
  <si>
    <t>Peugeot 2008 Allure Hybrid 145 eDCS6; şehir ve çevre yolu ağırlıklı yönetici/saha suv'u için seçilmiş, benzin / hybrid ve edcs6 otomatik kombinasyonuna sahip kurumsal filo seçeneğidir.</t>
  </si>
  <si>
    <t>Peugeot 2008 Kiralama | Kalite Filo</t>
  </si>
  <si>
    <t>Peugeot 2008 Allure Hybrid 145 eDCS6 için uzun dönem kurumsal araç kiralama. Teknik özellikleri, fiyat benchmarkı ve teklif bilgilerini inceleyin.</t>
  </si>
  <si>
    <t>eDCS6 otomatik</t>
  </si>
  <si>
    <t>434 L bagaj</t>
  </si>
  <si>
    <t>i-Cockpit</t>
  </si>
  <si>
    <t>Kompakt SUV</t>
  </si>
  <si>
    <t>Renault Duster Turbo TCe EDC 145; saha, şantiye çevresi ve çok amaçlı kurumsal suv için seçilmiş, benzin ve 7 ileri edc otomatik kombinasyonuna sahip kurumsal filo seçeneğidir.</t>
  </si>
  <si>
    <t>Renault Duster Kiralama | Kalite Filo</t>
  </si>
  <si>
    <t>Renault Duster Turbo TCe EDC 145 için uzun dönem kurumsal araç kiralama. Teknik özellikleri, fiyat benchmarkı ve teklif bilgilerini inceleyin.</t>
  </si>
  <si>
    <t>145 HP turbo</t>
  </si>
  <si>
    <t>EDC otomatik</t>
  </si>
  <si>
    <t>Yüksek yerden yapı</t>
  </si>
  <si>
    <t>C-SUV pratikliği</t>
  </si>
  <si>
    <t>Kurumsal saha kullanımına uygun</t>
  </si>
  <si>
    <t>Nissan Qashqai 1.3 DIG-T Mild Hybrid 158 X-Tronic Designpack; yönetici, aile ve uzun yol odaklı c-suv filosu için seçilmiş, benzin / mild hybrid ve x-tronic otomatik kombinasyonuna sahip kurumsal filo seçeneğidir.</t>
  </si>
  <si>
    <t>Nissan Qashqai Kiralama | Kalite Filo</t>
  </si>
  <si>
    <t>Nissan Qashqai 1.3 DIG-T Mild Hybrid 158 X-Tronic Designpack için uzun dönem kurumsal araç kiralama. Teknik özellikleri, fiyat benchmarkı ve teklif bilgilerin</t>
  </si>
  <si>
    <t>158 HP mild hybrid</t>
  </si>
  <si>
    <t>X-Tronic</t>
  </si>
  <si>
    <t>504 L bagaj</t>
  </si>
  <si>
    <t>C-SUV konforu</t>
  </si>
  <si>
    <t>Gelişmiş sürüş destekleri</t>
  </si>
  <si>
    <t>Peugeot 3008 Allure 1.2 Hybrid 145 eDCS6; orta-üst kademe yönetici ve aile tipi kurumsal suv için seçilmiş, benzin / hybrid ve edcs6 otomatik kombinasyonuna sahip kurumsal filo seçeneğidir.</t>
  </si>
  <si>
    <t>Peugeot 3008 Kiralama | Kalite Filo</t>
  </si>
  <si>
    <t>Peugeot 3008 Allure 1.2 Hybrid 145 eDCS6 için uzun dönem kurumsal araç kiralama. Teknik özellikleri, fiyat benchmarkı ve teklif bilgilerini inceleyin.</t>
  </si>
  <si>
    <t>Yeni nesil 3008</t>
  </si>
  <si>
    <t>Panoramic i-Cockpit</t>
  </si>
  <si>
    <t>Volkswagen T-Roc Life 1.5 eTSI 150 DSG; yönetici ve premium kompakt suv filosu için seçilmiş, benzin / mild hybrid ve dsg otomatik kombinasyonuna sahip kurumsal filo seçeneğidir.</t>
  </si>
  <si>
    <t>Volkswagen T-Roc Kiralama | Kalite Filo</t>
  </si>
  <si>
    <t>Volkswagen T-Roc Life 1.5 eTSI 150 DSG için uzun dönem kurumsal araç kiralama. Teknik özellikleri, fiyat benchmarkı ve teklif bilgilerini inceleyin.</t>
  </si>
  <si>
    <t>150 HP eTSI</t>
  </si>
  <si>
    <t>Mild hybrid</t>
  </si>
  <si>
    <t>C-SUV tasarımı</t>
  </si>
  <si>
    <t>Yönetici kullanımına uygun</t>
  </si>
  <si>
    <t>Renault Austral Techno Mild Hybrid 150 Auto; yönetici ve yüksek konfor beklentili c-suv filosu için seçilmiş, benzin / mild hybrid ve cvt otomatik kombinasyonuna sahip kurumsal filo seçeneğidir.</t>
  </si>
  <si>
    <t>Renault Austral Kiralama | Kalite Filo</t>
  </si>
  <si>
    <t>Renault Austral Techno Mild Hybrid 150 Auto için uzun dönem kurumsal araç kiralama. Teknik özellikleri, fiyat benchmarkı ve teklif bilgilerini inceleyin.</t>
  </si>
  <si>
    <t>150 HP mild hybrid</t>
  </si>
  <si>
    <t>270 Nm</t>
  </si>
  <si>
    <t>527 L bagaj</t>
  </si>
  <si>
    <t>Techno donanım</t>
  </si>
  <si>
    <t>Kia Sportage 1.6L T-GDI 150 PS DCT; yönetici ve aile tipi geniş c-suv kurumsal filosu için seçilmiş, benzin ve 7dct otomatik kombinasyonuna sahip kurumsal filo seçeneğidir.</t>
  </si>
  <si>
    <t>Kia Sportage Kiralama | Kalite Filo</t>
  </si>
  <si>
    <t>Kia Sportage 1.6L T-GDI 150 PS DCT için uzun dönem kurumsal araç kiralama. Teknik özellikleri, fiyat benchmarkı ve teklif bilgilerini inceleyin.</t>
  </si>
  <si>
    <t>150 PS turbo</t>
  </si>
  <si>
    <t>7DCT</t>
  </si>
  <si>
    <t>591 L bagaj</t>
  </si>
  <si>
    <t>Geniş kabin</t>
  </si>
  <si>
    <t>C-SUV sınıfı</t>
  </si>
  <si>
    <t>Peugeot 408 Allure Hybrid 145 eDCS6; tasarım ve prestij odaklı orta-üst kademe yönetici aracı için seçilmiş, benzin / hybrid ve edcs6 otomatik kombinasyonuna sahip kurumsal filo seçeneğidir.</t>
  </si>
  <si>
    <t>Peugeot 408 Kiralama | Kalite Filo</t>
  </si>
  <si>
    <t>Peugeot 408 Allure Hybrid 145 eDCS6 için uzun dönem kurumsal araç kiralama. Teknik özellikleri, fiyat benchmarkı ve teklif bilgilerini inceleyin.</t>
  </si>
  <si>
    <t>Fastback tasarım</t>
  </si>
  <si>
    <t>536 L bagaj</t>
  </si>
  <si>
    <t>Yönetici segmenti</t>
  </si>
  <si>
    <t>Tesla Model Y RWD; elektrikli premium yönetici ve teknoloji odaklı filo için seçilmiş, elektrik ve tek oranlı otomatik kombinasyonuna sahip kurumsal filo seçeneğidir.</t>
  </si>
  <si>
    <t>Tesla Model Y Kiralama | Kalite Filo</t>
  </si>
  <si>
    <t>Tesla Model Y RWD için uzun dönem kurumsal araç kiralama. Teknik özellikleri, fiyat benchmarkı ve teklif bilgilerini inceleyin.</t>
  </si>
  <si>
    <t>Tam elektrikli</t>
  </si>
  <si>
    <t>Supercharger ekosistemi</t>
  </si>
  <si>
    <t>Geniş iç mekan</t>
  </si>
  <si>
    <t>Yazılım odaklı araç deneyimi</t>
  </si>
  <si>
    <t>Kia EV3 Cool Long Range 150 kW; yüksek menzil isteyen elektrikli kurumsal suv filosu için seçilmiş, elektrik ve tek oranlı otomatik kombinasyonuna sahip kurumsal filo seçeneğidir.</t>
  </si>
  <si>
    <t>Kia EV3 Kiralama | Kalite Filo</t>
  </si>
  <si>
    <t>Kia EV3 Cool Long Range 150 kW için uzun dönem kurumsal araç kiralama. Teknik özellikleri, fiyat benchmarkı ve teklif bilgilerini inceleyin.</t>
  </si>
  <si>
    <t>604 km WLTP</t>
  </si>
  <si>
    <t>81.4 kWh batarya</t>
  </si>
  <si>
    <t>204 PS</t>
  </si>
  <si>
    <t>14.9 kWh/100 km</t>
  </si>
  <si>
    <t>BMW 320i Sedan 320i; üst düzey yönetici ve temsil aracı için seçilmiş, benzin ve steptronic otomatik kombinasyonuna sahip kurumsal filo seçeneğidir.</t>
  </si>
  <si>
    <t>BMW 320i Sedan Kiralama | Kalite Filo</t>
  </si>
  <si>
    <t>BMW 320i Sedan 320i için uzun dönem kurumsal araç kiralama. Teknik özellikleri, fiyat benchmarkı ve teklif bilgilerini inceleyin.</t>
  </si>
  <si>
    <t>Premium D sedan</t>
  </si>
  <si>
    <t>170 HP</t>
  </si>
  <si>
    <t>480 L bagaj</t>
  </si>
  <si>
    <t>Yönetici/temsil kullanımına uygun</t>
  </si>
  <si>
    <t>Fiat Doblo Cargo 1.5 BlueHDi 100 6MT; servis, teknik ekip, kargo ve şehir içi dağıtım için seçilmiş, dizel ve 6 ileri manuel kombinasyonuna sahip kurumsal filo seçeneğidir.</t>
  </si>
  <si>
    <t>Fiat Doblo Cargo Kiralama | Kalite Filo</t>
  </si>
  <si>
    <t>Fiat Doblo Cargo 1.5 BlueHDi 100 6MT için uzun dönem kurumsal araç kiralama. Teknik özellikleri, fiyat benchmarkı ve teklif bilgilerini inceleyin.</t>
  </si>
  <si>
    <t>Panelvan gövde</t>
  </si>
  <si>
    <t>100 HP dizel</t>
  </si>
  <si>
    <t>6 ileri manuel</t>
  </si>
  <si>
    <t>Yaklaşık 3.3 m³ yükleme</t>
  </si>
  <si>
    <t>Düşük işletme maliyeti</t>
  </si>
  <si>
    <t>Fiat Doblo Combi 1.5 BlueHDi 130 AT Easy; personel taşıma, saha ekibi ve çok amaçlı ticari kullanım için seçilmiş, dizel ve 8 ileri otomatik kombinasyonuna sahip kurumsal filo seçeneğidir.</t>
  </si>
  <si>
    <t>Fiat Doblo Combi Kiralama | Kalite Filo</t>
  </si>
  <si>
    <t>Fiat Doblo Combi 1.5 BlueHDi 130 AT Easy için uzun dönem kurumsal araç kiralama. Teknik özellikleri, fiyat benchmarkı ve teklif bilgilerini inceleyin.</t>
  </si>
  <si>
    <t>8 ileri otomatik</t>
  </si>
  <si>
    <t>5 koltuk</t>
  </si>
  <si>
    <t>Geniş bagaj/yük alanı</t>
  </si>
  <si>
    <t>Çok amaçlı kullanım</t>
  </si>
  <si>
    <t>Fiat Scudo Van Standard Business L2 1.5 120; orta hacimli dağıtım, servis ve teknik operasyon için seçilmiş, dizel ve 6 ileri manuel kombinasyonuna sahip kurumsal filo seçeneğidir.</t>
  </si>
  <si>
    <t>Fiat Scudo Van Kiralama | Kalite Filo</t>
  </si>
  <si>
    <t>Fiat Scudo Van Standard Business L2 1.5 120 için uzun dönem kurumsal araç kiralama. Teknik özellikleri, fiyat benchmarkı ve teklif bilgilerini inceleyin.</t>
  </si>
  <si>
    <t>L2 orta panelvan</t>
  </si>
  <si>
    <t>120 HP dizel</t>
  </si>
  <si>
    <t>5.8 m³'e kadar yük hacmi</t>
  </si>
  <si>
    <t>3 kişilik kabin</t>
  </si>
  <si>
    <t>Şehir/şehirler arası lojistik</t>
  </si>
  <si>
    <t>Ford Tourneo Courier 1.0 EcoBoost 125 7DCT; personel, saha ekibi ve şehir içi çok amaçlı kullanım için seçilmiş, benzin ve 7 ileri dct kombinasyonuna sahip kurumsal filo seçeneğidir.</t>
  </si>
  <si>
    <t>Ford Tourneo Courier Kiralama | Kalite Filo</t>
  </si>
  <si>
    <t>Ford Tourneo Courier 1.0 EcoBoost 125 7DCT için uzun dönem kurumsal araç kiralama. Teknik özellikleri, fiyat benchmarkı ve teklif bilgilerini inceleyin.</t>
  </si>
  <si>
    <t>125 PS EcoBoost</t>
  </si>
  <si>
    <t>Yüksek tavanlı pratik gövde</t>
  </si>
  <si>
    <t>Şehir içi kullanım</t>
  </si>
  <si>
    <t>Ford Transit Custom Van 2.0 EcoBlue 136 320L Van Trend; orta hacimli kurumsal lojistik, servis ve teknik operasyon için seçilmiş, dizel ve otomatik / versiyona göre kombinasyonuna sahip kurumsal filo seçeneğidir.</t>
  </si>
  <si>
    <t>Ford Transit Custom Van Kiralama | Kalite Filo</t>
  </si>
  <si>
    <t>Ford Transit Custom Van 2.0 EcoBlue 136 320L Van Trend için uzun dönem kurumsal araç kiralama. Teknik özellikleri, fiyat benchmarkı ve teklif bilgilerini ince</t>
  </si>
  <si>
    <t>136 PS EcoBlue</t>
  </si>
  <si>
    <t>320L uzun gövde</t>
  </si>
  <si>
    <t>Yaklaşık 6.8 m³ yük hacmi</t>
  </si>
  <si>
    <t>Kurumsal servis operasyonu</t>
  </si>
  <si>
    <t>Ford Transit Van 350M 9.5 m³ 2.0 EcoBlue 130 Trend; hacimli dağıtım, saha servisi ve lojistik için seçilmiş, dizel ve 6 ileri manuel kombinasyonuna sahip kurumsal filo seçeneğidir.</t>
  </si>
  <si>
    <t>Ford Transit Van Kiralama | Kalite Filo</t>
  </si>
  <si>
    <t>Ford Transit Van 350M 9.5 m³ 2.0 EcoBlue 130 Trend için uzun dönem kurumsal araç kiralama. Teknik özellikleri, fiyat benchmarkı ve teklif bilgilerini inceleyi</t>
  </si>
  <si>
    <t>9.5 m³ yük hacmi</t>
  </si>
  <si>
    <t>130 PS EcoBlue</t>
  </si>
  <si>
    <t>350M gövde</t>
  </si>
  <si>
    <t>Hacimli kurumsal taşımacılık</t>
  </si>
  <si>
    <t>Citroën Berlingo Van 1.5 BlueHDi 100 6MT; şehir içi dağıtım, servis ve teknik ekip operasyonu için seçilmiş, dizel ve 6 ileri manuel kombinasyonuna sahip kurumsal filo seçeneğidir.</t>
  </si>
  <si>
    <t>Citroën Berlingo Van Kiralama | Kalite Filo</t>
  </si>
  <si>
    <t>Citroën Berlingo Van 1.5 BlueHDi 100 6MT için uzun dönem kurumsal araç kiralama. Teknik özellikleri, fiyat benchmarkı ve teklif bilgilerini inceleyin.</t>
  </si>
  <si>
    <t>1.5 BlueHDi</t>
  </si>
  <si>
    <t>100 HP / 250 Nm</t>
  </si>
  <si>
    <t>4.4 m³'e kadar yük hacmi</t>
  </si>
  <si>
    <t>Düşük tüketim</t>
  </si>
  <si>
    <t>Fiat Ducato Van Maxi 13 m³ 2.2 Multijet 140 6MT; büyük hacimli kurumsal dağıtım ve lojistik için seçilmiş, dizel ve 6 ileri manuel kombinasyonuna sahip kurumsal filo seçeneğidir.</t>
  </si>
  <si>
    <t>Fiat Ducato Van Kiralama | Kalite Filo</t>
  </si>
  <si>
    <t>Fiat Ducato Van Maxi 13 m³ 2.2 Multijet 140 6MT için uzun dönem kurumsal araç kiralama. Teknik özellikleri, fiyat benchmarkı ve teklif bilgilerini inceleyin.</t>
  </si>
  <si>
    <t>13 m³ yük hacmi</t>
  </si>
  <si>
    <t>140 HP Multijet</t>
  </si>
  <si>
    <t>350 Nm</t>
  </si>
  <si>
    <t>Maxi panelvan</t>
  </si>
  <si>
    <t>Yüksek hacimli operasyon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</si>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</sst>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₺#,##0"/>
    <numFmt numFmtId="165" formatCode="0.0"/>
  </numFmts>
  <fonts count="8">
    <font>
      <sz val="11"/>
      <name val="Carlito"/>
    </font>
    <font>
      <b/>
      <sz val="20"/>
      <color rgb="FFFFFFFF"/>
      <name val="Aptos"/>
    </font>
    <font>
      <i/>
      <sz val="11"/>
      <color rgb="FF1B2631"/>
      <name val="Aptos"/>
    </font>
    <font>
      <b/>
      <sz val="18"/>
      <color rgb="FFFFFFFF"/>
      <name val="Aptos"/>
    </font>
    <font>
      <b/>
      <sz val="11"/>
      <color rgb="FF0F2742"/>
      <name val="Aptos"/>
    </font>
    <font>
      <b/>
      <sz val="12"/>
      <color rgb="FF0F2742"/>
      <name val="Aptos"/>
    </font>
    <font>
      <sz val="11"/>
      <color rgb="FF1B2631"/>
      <name val="Aptos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0F2742"/>
      </patternFill>
    </fill>
    <fill>
      <patternFill patternType="solid">
        <fgColor rgb="FFFFF6DD"/>
      </patternFill>
    </fill>
    <fill>
      <patternFill patternType="solid">
        <fgColor rgb="FF008C95"/>
      </patternFill>
    </fill>
    <fill>
      <patternFill patternType="solid">
        <fgColor rgb="FFF4F6F8"/>
      </patternFill>
    </fill>
    <fill>
      <patternFill patternType="solid">
        <fgColor rgb="FFD9A441"/>
      </patternFill>
    </fill>
    <fill>
      <patternFill patternType="solid">
        <fgColor rgb="FFEA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t>Portföy Sınıf Dağılımı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Adet</c:v>
          </c:tx>
          <c:invertIfNegative val="1"/>
          <c:cat>
            <c:strRef>
              <c:f>Özet!$H$6:$H$8</c:f>
              <c:strCache>
                <c:ptCount val="3"/>
                <c:pt idx="0">
                  <c:v>Binek</c:v>
                </c:pt>
                <c:pt idx="1">
                  <c:v>SUV</c:v>
                </c:pt>
                <c:pt idx="2">
                  <c:v>Ticari</c:v>
                </c:pt>
              </c:strCache>
            </c:strRef>
          </c:cat>
          <c:val>
            <c:numRef>
              <c:f>Özet!$I$6:$I$8</c:f>
              <c:numCache>
                <c:formatCode>General</c:formatCode>
                <c:ptCount val="3"/>
                <c:pt idx="0">
                  <c:v>11</c:v>
                </c:pt>
                <c:pt idx="1">
                  <c:v>13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5-4BB7-BF2B-8763BCEB8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t>Güç Aktarma Dağılımı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Adet</c:v>
          </c:tx>
          <c:invertIfNegative val="1"/>
          <c:cat>
            <c:strRef>
              <c:f>Özet!$K$6:$K$9</c:f>
              <c:strCache>
                <c:ptCount val="4"/>
                <c:pt idx="0">
                  <c:v>Benzin</c:v>
                </c:pt>
                <c:pt idx="1">
                  <c:v>Hybrid / mHEV</c:v>
                </c:pt>
                <c:pt idx="2">
                  <c:v>Dizel</c:v>
                </c:pt>
                <c:pt idx="3">
                  <c:v>Elektrik</c:v>
                </c:pt>
              </c:strCache>
            </c:strRef>
          </c:cat>
          <c:val>
            <c:numRef>
              <c:f>Özet!$L$6:$L$9</c:f>
              <c:numCache>
                <c:formatCode>General</c:formatCode>
                <c:ptCount val="4"/>
                <c:pt idx="0">
                  <c:v>11</c:v>
                </c:pt>
                <c:pt idx="1">
                  <c:v>11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5-408A-9C9B-B7A1E9C51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tfoy32Table" displayName="Portfoy32Table" ref="A4:AH36" totalsRowShown="0">
  <tableColumns count="34">
    <tableColumn id="1" xr3:uid="{00000000-0010-0000-0000-000001000000}" name="Portföy ID"/>
    <tableColumn id="2" xr3:uid="{00000000-0010-0000-0000-000002000000}" name="Yayın Durumu"/>
    <tableColumn id="3" xr3:uid="{00000000-0010-0000-0000-000003000000}" name="Öncelik"/>
    <tableColumn id="4" xr3:uid="{00000000-0010-0000-0000-000004000000}" name="Marka"/>
    <tableColumn id="5" xr3:uid="{00000000-0010-0000-0000-000005000000}" name="Model"/>
    <tableColumn id="6" xr3:uid="{00000000-0010-0000-0000-000006000000}" name="Versiyon"/>
    <tableColumn id="7" xr3:uid="{00000000-0010-0000-0000-000007000000}" name="Model Yılı"/>
    <tableColumn id="8" xr3:uid="{00000000-0010-0000-0000-000008000000}" name="Sınıf"/>
    <tableColumn id="9" xr3:uid="{00000000-0010-0000-0000-000009000000}" name="Segment / Gövde"/>
    <tableColumn id="10" xr3:uid="{00000000-0010-0000-0000-00000A000000}" name="Yakıt"/>
    <tableColumn id="11" xr3:uid="{00000000-0010-0000-0000-00000B000000}" name="Vites"/>
    <tableColumn id="12" xr3:uid="{00000000-0010-0000-0000-00000C000000}" name="Güç (HP)"/>
    <tableColumn id="13" xr3:uid="{00000000-0010-0000-0000-00000D000000}" name="Koltuk"/>
    <tableColumn id="14" xr3:uid="{00000000-0010-0000-0000-00000E000000}" name="Benchmark Kayıt"/>
    <tableColumn id="15" xr3:uid="{00000000-0010-0000-0000-00000F000000}" name="Benchmark Min Net"/>
    <tableColumn id="16" xr3:uid="{00000000-0010-0000-0000-000010000000}" name="Benchmark Medyan Net"/>
    <tableColumn id="17" xr3:uid="{00000000-0010-0000-0000-000011000000}" name="Benchmark Ortalama Net"/>
    <tableColumn id="18" xr3:uid="{00000000-0010-0000-0000-000012000000}" name="Benchmark Max Net"/>
    <tableColumn id="19" xr3:uid="{00000000-0010-0000-0000-000013000000}" name="Önerilen Liste Net"/>
    <tableColumn id="20" xr3:uid="{00000000-0010-0000-0000-000014000000}" name="Nihai Yayın Net"/>
    <tableColumn id="21" xr3:uid="{00000000-0010-0000-0000-000015000000}" name="KDV Oranı"/>
    <tableColumn id="22" xr3:uid="{00000000-0010-0000-0000-000016000000}" name="KDV Dahil Nihai"/>
    <tableColumn id="23" xr3:uid="{00000000-0010-0000-0000-000017000000}" name="Fiyat Gösterimi"/>
    <tableColumn id="24" xr3:uid="{00000000-0010-0000-0000-000018000000}" name="Standart Süre (Ay)"/>
    <tableColumn id="25" xr3:uid="{00000000-0010-0000-0000-000019000000}" name="Yıllık KM"/>
    <tableColumn id="26" xr3:uid="{00000000-0010-0000-0000-00001A000000}" name="İlan Başlığı"/>
    <tableColumn id="27" xr3:uid="{00000000-0010-0000-0000-00001B000000}" name="URL Slug"/>
    <tableColumn id="28" xr3:uid="{00000000-0010-0000-0000-00001C000000}" name="Hedef Kullanım"/>
    <tableColumn id="29" xr3:uid="{00000000-0010-0000-0000-00001D000000}" name="Görsel Önizleme"/>
    <tableColumn id="30" xr3:uid="{00000000-0010-0000-0000-00001E000000}" name="Görsel URL"/>
    <tableColumn id="31" xr3:uid="{00000000-0010-0000-0000-00001F000000}" name="Teknik Kaynak URL"/>
    <tableColumn id="32" xr3:uid="{00000000-0010-0000-0000-000020000000}" name="Benchmark Birincil URL"/>
    <tableColumn id="33" xr3:uid="{00000000-0010-0000-0000-000021000000}" name="Veri Güveni"/>
    <tableColumn id="34" xr3:uid="{00000000-0010-0000-0000-000022000000}" name="Yayın Not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knikDetayTable" displayName="TeknikDetayTable" ref="A4:AC36" totalsRowShown="0">
  <tableColumns count="29">
    <tableColumn id="1" xr3:uid="{00000000-0010-0000-0100-000001000000}" name="Portföy ID"/>
    <tableColumn id="2" xr3:uid="{00000000-0010-0000-0100-000002000000}" name="Marka"/>
    <tableColumn id="3" xr3:uid="{00000000-0010-0000-0100-000003000000}" name="Model"/>
    <tableColumn id="4" xr3:uid="{00000000-0010-0000-0100-000004000000}" name="Versiyon"/>
    <tableColumn id="5" xr3:uid="{00000000-0010-0000-0100-000005000000}" name="Motor Hacmi (cc)"/>
    <tableColumn id="6" xr3:uid="{00000000-0010-0000-0100-000006000000}" name="Güç (HP)"/>
    <tableColumn id="7" xr3:uid="{00000000-0010-0000-0100-000007000000}" name="Tork (Nm)"/>
    <tableColumn id="8" xr3:uid="{00000000-0010-0000-0100-000008000000}" name="Yakıt"/>
    <tableColumn id="9" xr3:uid="{00000000-0010-0000-0100-000009000000}" name="Vites"/>
    <tableColumn id="10" xr3:uid="{00000000-0010-0000-0100-00000A000000}" name="Çekiş"/>
    <tableColumn id="11" xr3:uid="{00000000-0010-0000-0100-00000B000000}" name="Batarya (kWh)"/>
    <tableColumn id="12" xr3:uid="{00000000-0010-0000-0100-00000C000000}" name="WLTP Menzil (km)"/>
    <tableColumn id="13" xr3:uid="{00000000-0010-0000-0100-00000D000000}" name="Yakıt Tüketimi (L/100 km)"/>
    <tableColumn id="14" xr3:uid="{00000000-0010-0000-0100-00000E000000}" name="Enerji Tüketimi (kWh/100 km)"/>
    <tableColumn id="15" xr3:uid="{00000000-0010-0000-0100-00000F000000}" name="CO₂ (g/km)"/>
    <tableColumn id="16" xr3:uid="{00000000-0010-0000-0100-000010000000}" name="Uzunluk (mm)"/>
    <tableColumn id="17" xr3:uid="{00000000-0010-0000-0100-000011000000}" name="Genişlik (mm)"/>
    <tableColumn id="18" xr3:uid="{00000000-0010-0000-0100-000012000000}" name="Yükseklik (mm)"/>
    <tableColumn id="19" xr3:uid="{00000000-0010-0000-0100-000013000000}" name="Aks Mesafesi (mm)"/>
    <tableColumn id="20" xr3:uid="{00000000-0010-0000-0100-000014000000}" name="Bagaj (L)"/>
    <tableColumn id="21" xr3:uid="{00000000-0010-0000-0100-000015000000}" name="Yük Hacmi (m³)"/>
    <tableColumn id="22" xr3:uid="{00000000-0010-0000-0100-000016000000}" name="Koltuk"/>
    <tableColumn id="23" xr3:uid="{00000000-0010-0000-0100-000017000000}" name="Kapı"/>
    <tableColumn id="24" xr3:uid="{00000000-0010-0000-0100-000018000000}" name="0-100 km/s (sn)"/>
    <tableColumn id="25" xr3:uid="{00000000-0010-0000-0100-000019000000}" name="Azami Hız (km/s)"/>
    <tableColumn id="26" xr3:uid="{00000000-0010-0000-0100-00001A000000}" name="Yakıt Deposu (L)"/>
    <tableColumn id="27" xr3:uid="{00000000-0010-0000-0100-00001B000000}" name="Teknik Kaynak URL"/>
    <tableColumn id="28" xr3:uid="{00000000-0010-0000-0100-00001C000000}" name="Kaynak / Versiyon Notu"/>
    <tableColumn id="29" xr3:uid="{00000000-0010-0000-0100-00001D000000}" name="Veri Güven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enchmarkTable" displayName="BenchmarkTable" ref="A4:M36" totalsRowShown="0">
  <tableColumns count="13">
    <tableColumn id="1" xr3:uid="{00000000-0010-0000-0200-000001000000}" name="Portföy ID"/>
    <tableColumn id="2" xr3:uid="{00000000-0010-0000-0200-000002000000}" name="Araç"/>
    <tableColumn id="3" xr3:uid="{00000000-0010-0000-0200-000003000000}" name="Eşleşme Seviyesi"/>
    <tableColumn id="4" xr3:uid="{00000000-0010-0000-0200-000004000000}" name="Kayıt"/>
    <tableColumn id="5" xr3:uid="{00000000-0010-0000-0200-000005000000}" name="Min Net"/>
    <tableColumn id="6" xr3:uid="{00000000-0010-0000-0200-000006000000}" name="Medyan Net"/>
    <tableColumn id="7" xr3:uid="{00000000-0010-0000-0200-000007000000}" name="Ortalama Net"/>
    <tableColumn id="8" xr3:uid="{00000000-0010-0000-0200-000008000000}" name="Max Net"/>
    <tableColumn id="9" xr3:uid="{00000000-0010-0000-0200-000009000000}" name="Kaynak Şirketler"/>
    <tableColumn id="10" xr3:uid="{00000000-0010-0000-0200-00000A000000}" name="Benchmark URL'leri"/>
    <tableColumn id="11" xr3:uid="{00000000-0010-0000-0200-00000B000000}" name="Tarama Tarihi"/>
    <tableColumn id="12" xr3:uid="{00000000-0010-0000-0200-00000C000000}" name="Önerilen Çalışma Net"/>
    <tableColumn id="13" xr3:uid="{00000000-0010-0000-0200-00000D000000}" name="No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nchmarkRawTable" displayName="BenchmarkRawTable" ref="A4:P136" totalsRowShown="0">
  <tableColumns count="16">
    <tableColumn id="1" xr3:uid="{00000000-0010-0000-0300-000001000000}" name="Portföy ID"/>
    <tableColumn id="2" xr3:uid="{00000000-0010-0000-0300-000002000000}" name="Benchmark Kayıt ID"/>
    <tableColumn id="3" xr3:uid="{00000000-0010-0000-0300-000003000000}" name="Şirket"/>
    <tableColumn id="4" xr3:uid="{00000000-0010-0000-0300-000004000000}" name="Marka"/>
    <tableColumn id="5" xr3:uid="{00000000-0010-0000-0300-000005000000}" name="Model / Versiyon"/>
    <tableColumn id="6" xr3:uid="{00000000-0010-0000-0300-000006000000}" name="Segment / Gövde"/>
    <tableColumn id="7" xr3:uid="{00000000-0010-0000-0300-000007000000}" name="Yakıt"/>
    <tableColumn id="8" xr3:uid="{00000000-0010-0000-0300-000008000000}" name="Vites"/>
    <tableColumn id="9" xr3:uid="{00000000-0010-0000-0300-000009000000}" name="Model Yılı"/>
    <tableColumn id="10" xr3:uid="{00000000-0010-0000-0300-00000A000000}" name="Süre (Ay)"/>
    <tableColumn id="11" xr3:uid="{00000000-0010-0000-0300-00000B000000}" name="Km Limiti"/>
    <tableColumn id="12" xr3:uid="{00000000-0010-0000-0300-00000C000000}" name="Km Birimi"/>
    <tableColumn id="13" xr3:uid="{00000000-0010-0000-0300-00000D000000}" name="Aylık Net Fiyat (TL)"/>
    <tableColumn id="14" xr3:uid="{00000000-0010-0000-0300-00000E000000}" name="Dahil Hizmetler"/>
    <tableColumn id="15" xr3:uid="{00000000-0010-0000-0300-00000F000000}" name="Kaynak URL"/>
    <tableColumn id="16" xr3:uid="{00000000-0010-0000-0300-000010000000}" name="Kaynak Tarih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orsellerTable" displayName="GorsellerTable" ref="A4:I36" totalsRowShown="0">
  <tableColumns count="9">
    <tableColumn id="1" xr3:uid="{00000000-0010-0000-0400-000001000000}" name="Portföy ID"/>
    <tableColumn id="2" xr3:uid="{00000000-0010-0000-0400-000002000000}" name="Araç"/>
    <tableColumn id="3" xr3:uid="{00000000-0010-0000-0400-000003000000}" name="Önizleme"/>
    <tableColumn id="4" xr3:uid="{00000000-0010-0000-0400-000004000000}" name="Doğrudan Görsel URL"/>
    <tableColumn id="5" xr3:uid="{00000000-0010-0000-0400-000005000000}" name="Commons Dosya Sayfası"/>
    <tableColumn id="6" xr3:uid="{00000000-0010-0000-0400-000006000000}" name="Lisans / Yayın Durumu"/>
    <tableColumn id="7" xr3:uid="{00000000-0010-0000-0400-000007000000}" name="Atıf Notu"/>
    <tableColumn id="8" xr3:uid="{00000000-0010-0000-0400-000008000000}" name="Görsel Eşleşme Notu"/>
    <tableColumn id="9" xr3:uid="{00000000-0010-0000-0400-000009000000}" name="Önerilen Alt Tex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lanMetinleriTable" displayName="IlanMetinleriTable" ref="A4:M36" totalsRowShown="0">
  <tableColumns count="13">
    <tableColumn id="1" xr3:uid="{00000000-0010-0000-0500-000001000000}" name="Portföy ID"/>
    <tableColumn id="2" xr3:uid="{00000000-0010-0000-0500-000002000000}" name="İlan Başlığı"/>
    <tableColumn id="3" xr3:uid="{00000000-0010-0000-0500-000003000000}" name="URL Slug"/>
    <tableColumn id="4" xr3:uid="{00000000-0010-0000-0500-000004000000}" name="Kısa Açıklama"/>
    <tableColumn id="5" xr3:uid="{00000000-0010-0000-0500-000005000000}" name="SEO Meta Title"/>
    <tableColumn id="6" xr3:uid="{00000000-0010-0000-0500-000006000000}" name="SEO Meta Description"/>
    <tableColumn id="7" xr3:uid="{00000000-0010-0000-0500-000007000000}" name="Öne Çıkan 1"/>
    <tableColumn id="8" xr3:uid="{00000000-0010-0000-0500-000008000000}" name="Öne Çıkan 2"/>
    <tableColumn id="9" xr3:uid="{00000000-0010-0000-0500-000009000000}" name="Öne Çıkan 3"/>
    <tableColumn id="10" xr3:uid="{00000000-0010-0000-0500-00000A000000}" name="Öne Çıkan 4"/>
    <tableColumn id="11" xr3:uid="{00000000-0010-0000-0500-00000B000000}" name="Öne Çıkan 5"/>
    <tableColumn id="12" xr3:uid="{00000000-0010-0000-0500-00000C000000}" name="Hedef Kullanım"/>
    <tableColumn id="13" xr3:uid="{00000000-0010-0000-0500-00000D000000}" name="C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/>
  </sheetViews>
  <sheetFormatPr defaultRowHeight="14.25"/>
  <cols>
    <col min="1" max="1" width="20" customWidth="1"/>
    <col min="2" max="6" width="18" customWidth="1"/>
    <col min="7" max="7" width="14" customWidth="1"/>
    <col min="8" max="14" width="13" customWidth="1"/>
  </cols>
  <sheetData>
    <row r="1" spans="1:1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6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5" spans="1:14" ht="15">
      <c r="A5" s="15">
        <v>32</v>
      </c>
      <c r="B5" s="15">
        <v>11</v>
      </c>
      <c r="C5" s="15">
        <v>13</v>
      </c>
      <c r="D5" s="15">
        <v>8</v>
      </c>
      <c r="E5" s="16">
        <v>2</v>
      </c>
      <c r="F5" s="16">
        <v>11</v>
      </c>
      <c r="H5" s="5" t="s">
        <v>2</v>
      </c>
      <c r="I5" s="5" t="s">
        <v>3</v>
      </c>
      <c r="K5" s="5" t="s">
        <v>4</v>
      </c>
      <c r="L5" s="5" t="s">
        <v>3</v>
      </c>
    </row>
    <row r="6" spans="1:14" ht="15">
      <c r="A6" s="15"/>
      <c r="B6" s="15"/>
      <c r="C6" s="15"/>
      <c r="D6" s="15"/>
      <c r="E6" s="16"/>
      <c r="F6" s="16"/>
      <c r="H6" s="3" t="s">
        <v>5</v>
      </c>
      <c r="I6" s="3">
        <v>11</v>
      </c>
      <c r="J6" s="3"/>
      <c r="K6" s="3" t="s">
        <v>6</v>
      </c>
      <c r="L6" s="3">
        <v>11</v>
      </c>
    </row>
    <row r="7" spans="1:14" ht="15">
      <c r="A7" s="1" t="s">
        <v>7</v>
      </c>
      <c r="B7" s="1" t="s">
        <v>5</v>
      </c>
      <c r="C7" s="1" t="s">
        <v>8</v>
      </c>
      <c r="D7" s="1" t="s">
        <v>9</v>
      </c>
      <c r="E7" s="1" t="s">
        <v>10</v>
      </c>
      <c r="F7" s="1" t="s">
        <v>11</v>
      </c>
      <c r="H7" s="3" t="s">
        <v>8</v>
      </c>
      <c r="I7" s="3">
        <v>13</v>
      </c>
      <c r="J7" s="3"/>
      <c r="K7" s="3" t="s">
        <v>11</v>
      </c>
      <c r="L7" s="3">
        <v>11</v>
      </c>
    </row>
    <row r="8" spans="1:14" ht="15">
      <c r="H8" s="3" t="s">
        <v>9</v>
      </c>
      <c r="I8" s="3">
        <v>8</v>
      </c>
      <c r="J8" s="3"/>
      <c r="K8" s="3" t="s">
        <v>12</v>
      </c>
      <c r="L8" s="3">
        <v>8</v>
      </c>
    </row>
    <row r="9" spans="1:14" ht="15.75">
      <c r="A9" s="17" t="s">
        <v>13</v>
      </c>
      <c r="B9" s="17"/>
      <c r="C9" s="17"/>
      <c r="D9" s="17"/>
      <c r="E9" s="17"/>
      <c r="F9" s="17"/>
      <c r="H9" s="3"/>
      <c r="I9" s="3"/>
      <c r="J9" s="3"/>
      <c r="K9" s="3" t="s">
        <v>14</v>
      </c>
      <c r="L9" s="3">
        <v>2</v>
      </c>
    </row>
    <row r="10" spans="1:14" ht="15">
      <c r="A10" s="2" t="s">
        <v>15</v>
      </c>
      <c r="B10" s="18" t="s">
        <v>16</v>
      </c>
      <c r="C10" s="18"/>
      <c r="D10" s="18"/>
      <c r="E10" s="18"/>
      <c r="F10" s="18"/>
    </row>
    <row r="11" spans="1:14" ht="15">
      <c r="A11" s="2" t="s">
        <v>17</v>
      </c>
      <c r="B11" s="18" t="s">
        <v>18</v>
      </c>
      <c r="C11" s="18"/>
      <c r="D11" s="18"/>
      <c r="E11" s="18"/>
      <c r="F11" s="18"/>
    </row>
    <row r="12" spans="1:14" ht="30">
      <c r="A12" s="2" t="s">
        <v>19</v>
      </c>
      <c r="B12" s="19">
        <v>54094.25</v>
      </c>
      <c r="C12" s="18"/>
      <c r="D12" s="18"/>
      <c r="E12" s="18"/>
      <c r="F12" s="18"/>
    </row>
    <row r="13" spans="1:14" ht="30">
      <c r="A13" s="2" t="s">
        <v>20</v>
      </c>
      <c r="B13" s="18" t="s">
        <v>21</v>
      </c>
      <c r="C13" s="18"/>
      <c r="D13" s="18"/>
      <c r="E13" s="18"/>
      <c r="F13" s="18"/>
    </row>
    <row r="14" spans="1:14" ht="15">
      <c r="A14" s="2" t="s">
        <v>22</v>
      </c>
      <c r="B14" s="18" t="s">
        <v>23</v>
      </c>
      <c r="C14" s="18"/>
      <c r="D14" s="18"/>
      <c r="E14" s="18"/>
      <c r="F14" s="18"/>
    </row>
    <row r="15" spans="1:14" ht="30">
      <c r="A15" s="2" t="s">
        <v>24</v>
      </c>
      <c r="B15" s="18" t="s">
        <v>25</v>
      </c>
      <c r="C15" s="18"/>
      <c r="D15" s="18"/>
      <c r="E15" s="18"/>
      <c r="F15" s="18"/>
    </row>
    <row r="17" spans="1:6" ht="15.75">
      <c r="A17" s="17" t="s">
        <v>26</v>
      </c>
      <c r="B17" s="17"/>
      <c r="C17" s="17"/>
      <c r="D17" s="17"/>
      <c r="E17" s="17"/>
      <c r="F17" s="17"/>
    </row>
    <row r="18" spans="1:6" ht="33.950000000000003" customHeight="1">
      <c r="A18" s="18" t="s">
        <v>27</v>
      </c>
      <c r="B18" s="18"/>
      <c r="C18" s="18"/>
      <c r="D18" s="18"/>
      <c r="E18" s="18"/>
      <c r="F18" s="18"/>
    </row>
    <row r="19" spans="1:6" ht="33.950000000000003" customHeight="1">
      <c r="A19" s="18" t="s">
        <v>28</v>
      </c>
      <c r="B19" s="18"/>
      <c r="C19" s="18"/>
      <c r="D19" s="18"/>
      <c r="E19" s="18"/>
      <c r="F19" s="18"/>
    </row>
    <row r="20" spans="1:6" ht="33.950000000000003" customHeight="1">
      <c r="A20" s="18" t="s">
        <v>29</v>
      </c>
      <c r="B20" s="18"/>
      <c r="C20" s="18"/>
      <c r="D20" s="18"/>
      <c r="E20" s="18"/>
      <c r="F20" s="18"/>
    </row>
    <row r="21" spans="1:6" ht="33.950000000000003" customHeight="1">
      <c r="A21" s="18" t="s">
        <v>30</v>
      </c>
      <c r="B21" s="18"/>
      <c r="C21" s="18"/>
      <c r="D21" s="18"/>
      <c r="E21" s="18"/>
      <c r="F21" s="18"/>
    </row>
  </sheetData>
  <mergeCells count="20">
    <mergeCell ref="A20:F20"/>
    <mergeCell ref="A21:F21"/>
    <mergeCell ref="B14:F14"/>
    <mergeCell ref="B15:F15"/>
    <mergeCell ref="A17:F17"/>
    <mergeCell ref="A18:F18"/>
    <mergeCell ref="A19:F19"/>
    <mergeCell ref="A9:F9"/>
    <mergeCell ref="B10:F10"/>
    <mergeCell ref="B11:F11"/>
    <mergeCell ref="B12:F12"/>
    <mergeCell ref="B13:F13"/>
    <mergeCell ref="A1:N2"/>
    <mergeCell ref="A3:N3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6"/>
  <sheetViews>
    <sheetView tabSelected="1" workbookViewId="0">
      <selection activeCell="D5" sqref="D5"/>
    </sheetView>
  </sheetViews>
  <sheetFormatPr defaultRowHeight="14.25"/>
  <cols>
    <col min="1" max="3" width="13" customWidth="1"/>
    <col min="4" max="5" width="16" customWidth="1"/>
    <col min="6" max="6" width="28" customWidth="1"/>
    <col min="8" max="11" width="16" customWidth="1"/>
    <col min="14" max="22" width="15" customWidth="1"/>
    <col min="23" max="25" width="16" customWidth="1"/>
    <col min="26" max="28" width="34" customWidth="1"/>
    <col min="29" max="29" width="18" customWidth="1"/>
    <col min="30" max="32" width="34" customWidth="1"/>
    <col min="33" max="33" width="22" customWidth="1"/>
    <col min="34" max="34" width="44" customWidth="1"/>
  </cols>
  <sheetData>
    <row r="1" spans="1:34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ht="30" customHeight="1">
      <c r="A3" s="20" t="s">
        <v>32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</row>
    <row r="4" spans="1:34" ht="33.950000000000003" customHeight="1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2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45</v>
      </c>
      <c r="O4" s="5" t="s">
        <v>46</v>
      </c>
      <c r="P4" s="5" t="s">
        <v>47</v>
      </c>
      <c r="Q4" s="5" t="s">
        <v>48</v>
      </c>
      <c r="R4" s="5" t="s">
        <v>49</v>
      </c>
      <c r="S4" s="5" t="s">
        <v>50</v>
      </c>
      <c r="T4" s="5" t="s">
        <v>51</v>
      </c>
      <c r="U4" s="5" t="s">
        <v>52</v>
      </c>
      <c r="V4" s="5" t="s">
        <v>53</v>
      </c>
      <c r="W4" s="5" t="s">
        <v>54</v>
      </c>
      <c r="X4" s="5" t="s">
        <v>55</v>
      </c>
      <c r="Y4" s="5" t="s">
        <v>56</v>
      </c>
      <c r="Z4" s="5" t="s">
        <v>57</v>
      </c>
      <c r="AA4" s="5" t="s">
        <v>58</v>
      </c>
      <c r="AB4" s="5" t="s">
        <v>59</v>
      </c>
      <c r="AC4" s="5" t="s">
        <v>60</v>
      </c>
      <c r="AD4" s="5" t="s">
        <v>61</v>
      </c>
      <c r="AE4" s="5" t="s">
        <v>62</v>
      </c>
      <c r="AF4" s="5" t="s">
        <v>63</v>
      </c>
      <c r="AG4" s="5" t="s">
        <v>64</v>
      </c>
      <c r="AH4" s="5" t="s">
        <v>65</v>
      </c>
    </row>
    <row r="5" spans="1:34" ht="78" customHeight="1">
      <c r="A5" s="6" t="s">
        <v>66</v>
      </c>
      <c r="B5" s="6" t="s">
        <v>1175</v>
      </c>
      <c r="C5" s="6" t="s">
        <v>67</v>
      </c>
      <c r="D5" s="6" t="s">
        <v>68</v>
      </c>
      <c r="E5" s="6" t="s">
        <v>69</v>
      </c>
      <c r="F5" s="10" t="s">
        <v>70</v>
      </c>
      <c r="G5" s="6" t="s">
        <v>71</v>
      </c>
      <c r="H5" s="6" t="s">
        <v>5</v>
      </c>
      <c r="I5" s="6" t="s">
        <v>72</v>
      </c>
      <c r="J5" s="6" t="s">
        <v>6</v>
      </c>
      <c r="K5" s="6" t="s">
        <v>73</v>
      </c>
      <c r="L5" s="6">
        <v>90</v>
      </c>
      <c r="M5" s="6">
        <v>5</v>
      </c>
      <c r="N5" s="6">
        <v>15</v>
      </c>
      <c r="O5" s="7">
        <v>28500</v>
      </c>
      <c r="P5" s="7">
        <v>39000</v>
      </c>
      <c r="Q5" s="7">
        <v>39456.533333333333</v>
      </c>
      <c r="R5" s="7">
        <v>66758</v>
      </c>
      <c r="S5" s="7">
        <f t="shared" ref="S5:S36" si="0">IF(P5="","",ROUND(P5*1.03/100,0)*100)</f>
        <v>40200</v>
      </c>
      <c r="T5" s="7"/>
      <c r="U5" s="8">
        <v>0.2</v>
      </c>
      <c r="V5" s="7" t="str">
        <f t="shared" ref="V5:V36" si="1">IF(T5="","",T5*(1+U5))</f>
        <v/>
      </c>
      <c r="W5" s="6" t="s">
        <v>74</v>
      </c>
      <c r="X5" s="6">
        <v>36</v>
      </c>
      <c r="Y5" s="9">
        <v>30000</v>
      </c>
      <c r="Z5" s="10" t="s">
        <v>75</v>
      </c>
      <c r="AA5" s="10" t="s">
        <v>76</v>
      </c>
      <c r="AB5" s="10" t="s">
        <v>77</v>
      </c>
      <c r="AC5" s="6" t="e">
        <f ca="1">_xludf.IMAGE(AD5,"Renault Clio",0)</f>
        <v>#NAME?</v>
      </c>
      <c r="AD5" s="6" t="s">
        <v>78</v>
      </c>
      <c r="AE5" s="6" t="s">
        <v>79</v>
      </c>
      <c r="AF5" s="10" t="s">
        <v>80</v>
      </c>
      <c r="AG5" s="10" t="s">
        <v>81</v>
      </c>
      <c r="AH5" s="10" t="s">
        <v>82</v>
      </c>
    </row>
    <row r="6" spans="1:34" ht="78" customHeight="1">
      <c r="A6" s="6" t="s">
        <v>83</v>
      </c>
      <c r="B6" s="6" t="s">
        <v>1175</v>
      </c>
      <c r="C6" s="6" t="s">
        <v>67</v>
      </c>
      <c r="D6" s="6" t="s">
        <v>84</v>
      </c>
      <c r="E6" s="6" t="s">
        <v>85</v>
      </c>
      <c r="F6" s="10" t="s">
        <v>86</v>
      </c>
      <c r="G6" s="6" t="s">
        <v>71</v>
      </c>
      <c r="H6" s="6" t="s">
        <v>5</v>
      </c>
      <c r="I6" s="6" t="s">
        <v>72</v>
      </c>
      <c r="J6" s="6" t="s">
        <v>6</v>
      </c>
      <c r="K6" s="6" t="s">
        <v>87</v>
      </c>
      <c r="L6" s="6">
        <v>90</v>
      </c>
      <c r="M6" s="6">
        <v>5</v>
      </c>
      <c r="N6" s="6">
        <v>7</v>
      </c>
      <c r="O6" s="7">
        <v>28500</v>
      </c>
      <c r="P6" s="7">
        <v>37900</v>
      </c>
      <c r="Q6" s="7">
        <v>36985.857142857145</v>
      </c>
      <c r="R6" s="7">
        <v>43501</v>
      </c>
      <c r="S6" s="7">
        <f t="shared" si="0"/>
        <v>39000</v>
      </c>
      <c r="T6" s="7"/>
      <c r="U6" s="8">
        <v>0.2</v>
      </c>
      <c r="V6" s="7" t="str">
        <f t="shared" si="1"/>
        <v/>
      </c>
      <c r="W6" s="6" t="s">
        <v>74</v>
      </c>
      <c r="X6" s="6">
        <v>36</v>
      </c>
      <c r="Y6" s="9">
        <v>30000</v>
      </c>
      <c r="Z6" s="10" t="s">
        <v>88</v>
      </c>
      <c r="AA6" s="10" t="s">
        <v>89</v>
      </c>
      <c r="AB6" s="10" t="s">
        <v>90</v>
      </c>
      <c r="AC6" s="6" t="e">
        <f ca="1">_xludf.IMAGE(AD6,"Hyundai i20",0)</f>
        <v>#NAME?</v>
      </c>
      <c r="AD6" s="6" t="s">
        <v>91</v>
      </c>
      <c r="AE6" s="6" t="s">
        <v>92</v>
      </c>
      <c r="AF6" s="10" t="s">
        <v>93</v>
      </c>
      <c r="AG6" s="10" t="s">
        <v>94</v>
      </c>
      <c r="AH6" s="10" t="s">
        <v>95</v>
      </c>
    </row>
    <row r="7" spans="1:34" ht="78" customHeight="1">
      <c r="A7" s="6" t="s">
        <v>96</v>
      </c>
      <c r="B7" s="6" t="s">
        <v>1175</v>
      </c>
      <c r="C7" s="6" t="s">
        <v>97</v>
      </c>
      <c r="D7" s="6" t="s">
        <v>98</v>
      </c>
      <c r="E7" s="6" t="s">
        <v>99</v>
      </c>
      <c r="F7" s="10" t="s">
        <v>100</v>
      </c>
      <c r="G7" s="6" t="s">
        <v>71</v>
      </c>
      <c r="H7" s="6" t="s">
        <v>5</v>
      </c>
      <c r="I7" s="6" t="s">
        <v>72</v>
      </c>
      <c r="J7" s="6" t="s">
        <v>101</v>
      </c>
      <c r="K7" s="6" t="s">
        <v>102</v>
      </c>
      <c r="L7" s="6">
        <v>100</v>
      </c>
      <c r="M7" s="6">
        <v>5</v>
      </c>
      <c r="N7" s="6">
        <v>3</v>
      </c>
      <c r="O7" s="7">
        <v>40215</v>
      </c>
      <c r="P7" s="7">
        <v>41900</v>
      </c>
      <c r="Q7" s="7">
        <v>44776.333333333336</v>
      </c>
      <c r="R7" s="7">
        <v>52214</v>
      </c>
      <c r="S7" s="7">
        <f t="shared" si="0"/>
        <v>43200</v>
      </c>
      <c r="T7" s="7"/>
      <c r="U7" s="8">
        <v>0.2</v>
      </c>
      <c r="V7" s="7" t="str">
        <f t="shared" si="1"/>
        <v/>
      </c>
      <c r="W7" s="6" t="s">
        <v>74</v>
      </c>
      <c r="X7" s="6">
        <v>36</v>
      </c>
      <c r="Y7" s="9">
        <v>30000</v>
      </c>
      <c r="Z7" s="10" t="s">
        <v>103</v>
      </c>
      <c r="AA7" s="10" t="s">
        <v>104</v>
      </c>
      <c r="AB7" s="10" t="s">
        <v>105</v>
      </c>
      <c r="AC7" s="6" t="e">
        <f ca="1">_xludf.IMAGE(AD7,"Opel Corsa",0)</f>
        <v>#NAME?</v>
      </c>
      <c r="AD7" s="6" t="s">
        <v>106</v>
      </c>
      <c r="AE7" s="6" t="s">
        <v>107</v>
      </c>
      <c r="AF7" s="10" t="s">
        <v>108</v>
      </c>
      <c r="AG7" s="10" t="s">
        <v>94</v>
      </c>
      <c r="AH7" s="10" t="s">
        <v>109</v>
      </c>
    </row>
    <row r="8" spans="1:34" ht="78" customHeight="1">
      <c r="A8" s="6" t="s">
        <v>110</v>
      </c>
      <c r="B8" s="6" t="s">
        <v>1175</v>
      </c>
      <c r="C8" s="6" t="s">
        <v>67</v>
      </c>
      <c r="D8" s="6" t="s">
        <v>111</v>
      </c>
      <c r="E8" s="6" t="s">
        <v>112</v>
      </c>
      <c r="F8" s="10" t="s">
        <v>113</v>
      </c>
      <c r="G8" s="6" t="s">
        <v>71</v>
      </c>
      <c r="H8" s="6" t="s">
        <v>5</v>
      </c>
      <c r="I8" s="6" t="s">
        <v>114</v>
      </c>
      <c r="J8" s="6" t="s">
        <v>12</v>
      </c>
      <c r="K8" s="6" t="s">
        <v>115</v>
      </c>
      <c r="L8" s="6">
        <v>130</v>
      </c>
      <c r="M8" s="6">
        <v>5</v>
      </c>
      <c r="N8" s="6">
        <v>9</v>
      </c>
      <c r="O8" s="7">
        <v>31666</v>
      </c>
      <c r="P8" s="7">
        <v>39000</v>
      </c>
      <c r="Q8" s="7">
        <v>48507.555555555555</v>
      </c>
      <c r="R8" s="7">
        <v>94629</v>
      </c>
      <c r="S8" s="7">
        <f t="shared" si="0"/>
        <v>40200</v>
      </c>
      <c r="T8" s="7"/>
      <c r="U8" s="8">
        <v>0.2</v>
      </c>
      <c r="V8" s="7" t="str">
        <f t="shared" si="1"/>
        <v/>
      </c>
      <c r="W8" s="6" t="s">
        <v>74</v>
      </c>
      <c r="X8" s="6">
        <v>36</v>
      </c>
      <c r="Y8" s="9">
        <v>30000</v>
      </c>
      <c r="Z8" s="10" t="s">
        <v>116</v>
      </c>
      <c r="AA8" s="10" t="s">
        <v>117</v>
      </c>
      <c r="AB8" s="10" t="s">
        <v>118</v>
      </c>
      <c r="AC8" s="6" t="e">
        <f ca="1">_xludf.IMAGE(AD8,"Fiat Egea Sedan",0)</f>
        <v>#NAME?</v>
      </c>
      <c r="AD8" s="6" t="s">
        <v>119</v>
      </c>
      <c r="AE8" s="6" t="s">
        <v>120</v>
      </c>
      <c r="AF8" s="10" t="s">
        <v>80</v>
      </c>
      <c r="AG8" s="10" t="s">
        <v>81</v>
      </c>
      <c r="AH8" s="10" t="s">
        <v>121</v>
      </c>
    </row>
    <row r="9" spans="1:34" ht="78" customHeight="1">
      <c r="A9" s="6" t="s">
        <v>122</v>
      </c>
      <c r="B9" s="6" t="s">
        <v>1175</v>
      </c>
      <c r="C9" s="6" t="s">
        <v>97</v>
      </c>
      <c r="D9" s="6" t="s">
        <v>123</v>
      </c>
      <c r="E9" s="6" t="s">
        <v>124</v>
      </c>
      <c r="F9" s="10" t="s">
        <v>125</v>
      </c>
      <c r="G9" s="6" t="s">
        <v>71</v>
      </c>
      <c r="H9" s="6" t="s">
        <v>8</v>
      </c>
      <c r="I9" s="6" t="s">
        <v>126</v>
      </c>
      <c r="J9" s="6" t="s">
        <v>6</v>
      </c>
      <c r="K9" s="6" t="s">
        <v>127</v>
      </c>
      <c r="L9" s="6">
        <v>115</v>
      </c>
      <c r="M9" s="6">
        <v>5</v>
      </c>
      <c r="N9" s="6">
        <v>1</v>
      </c>
      <c r="O9" s="7">
        <v>49000</v>
      </c>
      <c r="P9" s="7">
        <v>49000</v>
      </c>
      <c r="Q9" s="7">
        <v>49000</v>
      </c>
      <c r="R9" s="7">
        <v>49000</v>
      </c>
      <c r="S9" s="7">
        <f t="shared" si="0"/>
        <v>50500</v>
      </c>
      <c r="T9" s="7"/>
      <c r="U9" s="8">
        <v>0.2</v>
      </c>
      <c r="V9" s="7" t="str">
        <f t="shared" si="1"/>
        <v/>
      </c>
      <c r="W9" s="6" t="s">
        <v>74</v>
      </c>
      <c r="X9" s="6">
        <v>36</v>
      </c>
      <c r="Y9" s="9">
        <v>30000</v>
      </c>
      <c r="Z9" s="10" t="s">
        <v>128</v>
      </c>
      <c r="AA9" s="10" t="s">
        <v>129</v>
      </c>
      <c r="AB9" s="10" t="s">
        <v>130</v>
      </c>
      <c r="AC9" s="6" t="e">
        <f ca="1">_xludf.IMAGE(AD9,"Škoda Kamiq",0)</f>
        <v>#NAME?</v>
      </c>
      <c r="AD9" s="6" t="s">
        <v>131</v>
      </c>
      <c r="AE9" s="6" t="s">
        <v>132</v>
      </c>
      <c r="AF9" s="10" t="s">
        <v>133</v>
      </c>
      <c r="AG9" s="10" t="s">
        <v>94</v>
      </c>
      <c r="AH9" s="10" t="s">
        <v>134</v>
      </c>
    </row>
    <row r="10" spans="1:34" ht="78" customHeight="1">
      <c r="A10" s="6" t="s">
        <v>135</v>
      </c>
      <c r="B10" s="6" t="s">
        <v>1175</v>
      </c>
      <c r="C10" s="6" t="s">
        <v>67</v>
      </c>
      <c r="D10" s="6" t="s">
        <v>136</v>
      </c>
      <c r="E10" s="6" t="s">
        <v>137</v>
      </c>
      <c r="F10" s="10" t="s">
        <v>138</v>
      </c>
      <c r="G10" s="6" t="s">
        <v>71</v>
      </c>
      <c r="H10" s="6" t="s">
        <v>5</v>
      </c>
      <c r="I10" s="6" t="s">
        <v>114</v>
      </c>
      <c r="J10" s="6" t="s">
        <v>6</v>
      </c>
      <c r="K10" s="6" t="s">
        <v>139</v>
      </c>
      <c r="L10" s="6">
        <v>125</v>
      </c>
      <c r="M10" s="6">
        <v>5</v>
      </c>
      <c r="N10" s="6">
        <v>2</v>
      </c>
      <c r="O10" s="7">
        <v>44200</v>
      </c>
      <c r="P10" s="7">
        <v>48550</v>
      </c>
      <c r="Q10" s="7">
        <v>48550</v>
      </c>
      <c r="R10" s="7">
        <v>52900</v>
      </c>
      <c r="S10" s="7">
        <f t="shared" si="0"/>
        <v>50000</v>
      </c>
      <c r="T10" s="7"/>
      <c r="U10" s="8">
        <v>0.2</v>
      </c>
      <c r="V10" s="7" t="str">
        <f t="shared" si="1"/>
        <v/>
      </c>
      <c r="W10" s="6" t="s">
        <v>74</v>
      </c>
      <c r="X10" s="6">
        <v>36</v>
      </c>
      <c r="Y10" s="9">
        <v>30000</v>
      </c>
      <c r="Z10" s="10" t="s">
        <v>140</v>
      </c>
      <c r="AA10" s="10" t="s">
        <v>141</v>
      </c>
      <c r="AB10" s="10" t="s">
        <v>142</v>
      </c>
      <c r="AC10" s="6" t="e">
        <f ca="1">_xludf.IMAGE(AD10,"Toyota Corolla Sedan",0)</f>
        <v>#NAME?</v>
      </c>
      <c r="AD10" s="6" t="s">
        <v>143</v>
      </c>
      <c r="AE10" s="6" t="s">
        <v>144</v>
      </c>
      <c r="AF10" s="10" t="s">
        <v>93</v>
      </c>
      <c r="AG10" s="10" t="s">
        <v>81</v>
      </c>
      <c r="AH10" s="10" t="s">
        <v>145</v>
      </c>
    </row>
    <row r="11" spans="1:34" ht="78" customHeight="1">
      <c r="A11" s="6" t="s">
        <v>146</v>
      </c>
      <c r="B11" s="6" t="s">
        <v>1175</v>
      </c>
      <c r="C11" s="6" t="s">
        <v>67</v>
      </c>
      <c r="D11" s="6" t="s">
        <v>136</v>
      </c>
      <c r="E11" s="6" t="s">
        <v>137</v>
      </c>
      <c r="F11" s="10" t="s">
        <v>147</v>
      </c>
      <c r="G11" s="6" t="s">
        <v>71</v>
      </c>
      <c r="H11" s="6" t="s">
        <v>5</v>
      </c>
      <c r="I11" s="6" t="s">
        <v>114</v>
      </c>
      <c r="J11" s="6" t="s">
        <v>148</v>
      </c>
      <c r="K11" s="6" t="s">
        <v>149</v>
      </c>
      <c r="L11" s="6">
        <v>140</v>
      </c>
      <c r="M11" s="6">
        <v>5</v>
      </c>
      <c r="N11" s="6">
        <v>6</v>
      </c>
      <c r="O11" s="7">
        <v>52650</v>
      </c>
      <c r="P11" s="7">
        <v>62500</v>
      </c>
      <c r="Q11" s="7">
        <v>62654.333333333336</v>
      </c>
      <c r="R11" s="7">
        <v>69875</v>
      </c>
      <c r="S11" s="7">
        <f t="shared" si="0"/>
        <v>64400</v>
      </c>
      <c r="T11" s="7"/>
      <c r="U11" s="8">
        <v>0.2</v>
      </c>
      <c r="V11" s="7" t="str">
        <f t="shared" si="1"/>
        <v/>
      </c>
      <c r="W11" s="6" t="s">
        <v>74</v>
      </c>
      <c r="X11" s="6">
        <v>36</v>
      </c>
      <c r="Y11" s="9">
        <v>30000</v>
      </c>
      <c r="Z11" s="10" t="s">
        <v>150</v>
      </c>
      <c r="AA11" s="10" t="s">
        <v>151</v>
      </c>
      <c r="AB11" s="10" t="s">
        <v>152</v>
      </c>
      <c r="AC11" s="6" t="e">
        <f ca="1">_xludf.IMAGE(AD11,"Toyota Corolla Sedan",0)</f>
        <v>#NAME?</v>
      </c>
      <c r="AD11" s="6" t="s">
        <v>153</v>
      </c>
      <c r="AE11" s="6" t="s">
        <v>144</v>
      </c>
      <c r="AF11" s="10" t="s">
        <v>93</v>
      </c>
      <c r="AG11" s="10" t="s">
        <v>81</v>
      </c>
      <c r="AH11" s="10" t="s">
        <v>154</v>
      </c>
    </row>
    <row r="12" spans="1:34" ht="78" customHeight="1">
      <c r="A12" s="6" t="s">
        <v>155</v>
      </c>
      <c r="B12" s="6" t="s">
        <v>1175</v>
      </c>
      <c r="C12" s="6" t="s">
        <v>67</v>
      </c>
      <c r="D12" s="6" t="s">
        <v>68</v>
      </c>
      <c r="E12" s="6" t="s">
        <v>156</v>
      </c>
      <c r="F12" s="10" t="s">
        <v>157</v>
      </c>
      <c r="G12" s="6" t="s">
        <v>71</v>
      </c>
      <c r="H12" s="6" t="s">
        <v>5</v>
      </c>
      <c r="I12" s="6" t="s">
        <v>114</v>
      </c>
      <c r="J12" s="6" t="s">
        <v>6</v>
      </c>
      <c r="K12" s="6" t="s">
        <v>158</v>
      </c>
      <c r="L12" s="6">
        <v>140</v>
      </c>
      <c r="M12" s="6">
        <v>5</v>
      </c>
      <c r="N12" s="6">
        <v>7</v>
      </c>
      <c r="O12" s="7">
        <v>46000</v>
      </c>
      <c r="P12" s="7">
        <v>53500</v>
      </c>
      <c r="Q12" s="7">
        <v>59043.285714285717</v>
      </c>
      <c r="R12" s="7">
        <v>96829</v>
      </c>
      <c r="S12" s="7">
        <f t="shared" si="0"/>
        <v>55100</v>
      </c>
      <c r="T12" s="7"/>
      <c r="U12" s="8">
        <v>0.2</v>
      </c>
      <c r="V12" s="7" t="str">
        <f t="shared" si="1"/>
        <v/>
      </c>
      <c r="W12" s="6" t="s">
        <v>74</v>
      </c>
      <c r="X12" s="6">
        <v>36</v>
      </c>
      <c r="Y12" s="9">
        <v>30000</v>
      </c>
      <c r="Z12" s="10" t="s">
        <v>159</v>
      </c>
      <c r="AA12" s="10" t="s">
        <v>160</v>
      </c>
      <c r="AB12" s="10" t="s">
        <v>161</v>
      </c>
      <c r="AC12" s="6" t="e">
        <f ca="1">_xludf.IMAGE(AD12,"Renault Megane Sedan",0)</f>
        <v>#NAME?</v>
      </c>
      <c r="AD12" s="6" t="s">
        <v>162</v>
      </c>
      <c r="AE12" s="6" t="s">
        <v>163</v>
      </c>
      <c r="AF12" s="10" t="s">
        <v>93</v>
      </c>
      <c r="AG12" s="10" t="s">
        <v>94</v>
      </c>
      <c r="AH12" s="10" t="s">
        <v>164</v>
      </c>
    </row>
    <row r="13" spans="1:34" ht="78" customHeight="1">
      <c r="A13" s="6" t="s">
        <v>165</v>
      </c>
      <c r="B13" s="6" t="s">
        <v>1175</v>
      </c>
      <c r="C13" s="6" t="s">
        <v>67</v>
      </c>
      <c r="D13" s="6" t="s">
        <v>123</v>
      </c>
      <c r="E13" s="6" t="s">
        <v>166</v>
      </c>
      <c r="F13" s="10" t="s">
        <v>167</v>
      </c>
      <c r="G13" s="6" t="s">
        <v>71</v>
      </c>
      <c r="H13" s="6" t="s">
        <v>5</v>
      </c>
      <c r="I13" s="6" t="s">
        <v>168</v>
      </c>
      <c r="J13" s="6" t="s">
        <v>101</v>
      </c>
      <c r="K13" s="6" t="s">
        <v>127</v>
      </c>
      <c r="L13" s="6">
        <v>150</v>
      </c>
      <c r="M13" s="6">
        <v>5</v>
      </c>
      <c r="N13" s="6">
        <v>6</v>
      </c>
      <c r="O13" s="7">
        <v>46532</v>
      </c>
      <c r="P13" s="7">
        <v>60908</v>
      </c>
      <c r="Q13" s="7">
        <v>59653.166666666664</v>
      </c>
      <c r="R13" s="7">
        <v>70871</v>
      </c>
      <c r="S13" s="7">
        <f t="shared" si="0"/>
        <v>62700</v>
      </c>
      <c r="T13" s="7"/>
      <c r="U13" s="8">
        <v>0.2</v>
      </c>
      <c r="V13" s="7" t="str">
        <f t="shared" si="1"/>
        <v/>
      </c>
      <c r="W13" s="6" t="s">
        <v>74</v>
      </c>
      <c r="X13" s="6">
        <v>36</v>
      </c>
      <c r="Y13" s="9">
        <v>30000</v>
      </c>
      <c r="Z13" s="10" t="s">
        <v>169</v>
      </c>
      <c r="AA13" s="10" t="s">
        <v>170</v>
      </c>
      <c r="AB13" s="10" t="s">
        <v>171</v>
      </c>
      <c r="AC13" s="6" t="e">
        <f ca="1">_xludf.IMAGE(AD13,"Škoda Octavia",0)</f>
        <v>#NAME?</v>
      </c>
      <c r="AD13" s="6" t="s">
        <v>172</v>
      </c>
      <c r="AE13" s="6" t="s">
        <v>173</v>
      </c>
      <c r="AF13" s="10" t="s">
        <v>93</v>
      </c>
      <c r="AG13" s="10" t="s">
        <v>81</v>
      </c>
      <c r="AH13" s="10" t="s">
        <v>174</v>
      </c>
    </row>
    <row r="14" spans="1:34" ht="78" customHeight="1">
      <c r="A14" s="6" t="s">
        <v>175</v>
      </c>
      <c r="B14" s="6" t="s">
        <v>1175</v>
      </c>
      <c r="C14" s="6" t="s">
        <v>97</v>
      </c>
      <c r="D14" s="6" t="s">
        <v>123</v>
      </c>
      <c r="E14" s="6" t="s">
        <v>176</v>
      </c>
      <c r="F14" s="10" t="s">
        <v>177</v>
      </c>
      <c r="G14" s="6" t="s">
        <v>71</v>
      </c>
      <c r="H14" s="6" t="s">
        <v>5</v>
      </c>
      <c r="I14" s="6" t="s">
        <v>178</v>
      </c>
      <c r="J14" s="6" t="s">
        <v>101</v>
      </c>
      <c r="K14" s="6" t="s">
        <v>127</v>
      </c>
      <c r="L14" s="6">
        <v>150</v>
      </c>
      <c r="M14" s="6">
        <v>5</v>
      </c>
      <c r="N14" s="6">
        <v>4</v>
      </c>
      <c r="O14" s="7">
        <v>72750</v>
      </c>
      <c r="P14" s="7">
        <v>84601</v>
      </c>
      <c r="Q14" s="7">
        <v>84713</v>
      </c>
      <c r="R14" s="7">
        <v>96900</v>
      </c>
      <c r="S14" s="7">
        <f t="shared" si="0"/>
        <v>87100</v>
      </c>
      <c r="T14" s="7"/>
      <c r="U14" s="8">
        <v>0.2</v>
      </c>
      <c r="V14" s="7" t="str">
        <f t="shared" si="1"/>
        <v/>
      </c>
      <c r="W14" s="6" t="s">
        <v>74</v>
      </c>
      <c r="X14" s="6">
        <v>36</v>
      </c>
      <c r="Y14" s="9">
        <v>30000</v>
      </c>
      <c r="Z14" s="10" t="s">
        <v>179</v>
      </c>
      <c r="AA14" s="10" t="s">
        <v>180</v>
      </c>
      <c r="AB14" s="10" t="s">
        <v>181</v>
      </c>
      <c r="AC14" s="6" t="e">
        <f ca="1">_xludf.IMAGE(AD14,"Škoda Superb",0)</f>
        <v>#NAME?</v>
      </c>
      <c r="AD14" s="6" t="s">
        <v>182</v>
      </c>
      <c r="AE14" s="6" t="s">
        <v>183</v>
      </c>
      <c r="AF14" s="10" t="s">
        <v>93</v>
      </c>
      <c r="AG14" s="10" t="s">
        <v>81</v>
      </c>
      <c r="AH14" s="10" t="s">
        <v>184</v>
      </c>
    </row>
    <row r="15" spans="1:34" ht="78" customHeight="1">
      <c r="A15" s="6" t="s">
        <v>185</v>
      </c>
      <c r="B15" s="6" t="s">
        <v>1175</v>
      </c>
      <c r="C15" s="6" t="s">
        <v>67</v>
      </c>
      <c r="D15" s="6" t="s">
        <v>84</v>
      </c>
      <c r="E15" s="6" t="s">
        <v>186</v>
      </c>
      <c r="F15" s="10" t="s">
        <v>187</v>
      </c>
      <c r="G15" s="6" t="s">
        <v>71</v>
      </c>
      <c r="H15" s="6" t="s">
        <v>8</v>
      </c>
      <c r="I15" s="6" t="s">
        <v>126</v>
      </c>
      <c r="J15" s="6" t="s">
        <v>6</v>
      </c>
      <c r="K15" s="6" t="s">
        <v>87</v>
      </c>
      <c r="L15" s="6">
        <v>90</v>
      </c>
      <c r="M15" s="6">
        <v>5</v>
      </c>
      <c r="N15" s="6">
        <v>3</v>
      </c>
      <c r="O15" s="7">
        <v>43900</v>
      </c>
      <c r="P15" s="7">
        <v>49217</v>
      </c>
      <c r="Q15" s="7">
        <v>47789</v>
      </c>
      <c r="R15" s="7">
        <v>50250</v>
      </c>
      <c r="S15" s="7">
        <f t="shared" si="0"/>
        <v>50700</v>
      </c>
      <c r="T15" s="7"/>
      <c r="U15" s="8">
        <v>0.2</v>
      </c>
      <c r="V15" s="7" t="str">
        <f t="shared" si="1"/>
        <v/>
      </c>
      <c r="W15" s="6" t="s">
        <v>74</v>
      </c>
      <c r="X15" s="6">
        <v>36</v>
      </c>
      <c r="Y15" s="9">
        <v>30000</v>
      </c>
      <c r="Z15" s="10" t="s">
        <v>188</v>
      </c>
      <c r="AA15" s="10" t="s">
        <v>189</v>
      </c>
      <c r="AB15" s="10" t="s">
        <v>190</v>
      </c>
      <c r="AC15" s="6" t="e">
        <f ca="1">_xludf.IMAGE(AD15,"Hyundai Bayon",0)</f>
        <v>#NAME?</v>
      </c>
      <c r="AD15" s="6" t="s">
        <v>191</v>
      </c>
      <c r="AE15" s="6" t="s">
        <v>192</v>
      </c>
      <c r="AF15" s="10" t="s">
        <v>108</v>
      </c>
      <c r="AG15" s="10" t="s">
        <v>94</v>
      </c>
      <c r="AH15" s="10" t="s">
        <v>193</v>
      </c>
    </row>
    <row r="16" spans="1:34" ht="78" customHeight="1">
      <c r="A16" s="6" t="s">
        <v>194</v>
      </c>
      <c r="B16" s="6" t="s">
        <v>1175</v>
      </c>
      <c r="C16" s="6" t="s">
        <v>67</v>
      </c>
      <c r="D16" s="6" t="s">
        <v>195</v>
      </c>
      <c r="E16" s="6" t="s">
        <v>196</v>
      </c>
      <c r="F16" s="10" t="s">
        <v>197</v>
      </c>
      <c r="G16" s="6" t="s">
        <v>71</v>
      </c>
      <c r="H16" s="6" t="s">
        <v>8</v>
      </c>
      <c r="I16" s="6" t="s">
        <v>198</v>
      </c>
      <c r="J16" s="6" t="s">
        <v>6</v>
      </c>
      <c r="K16" s="6" t="s">
        <v>199</v>
      </c>
      <c r="L16" s="6">
        <v>116</v>
      </c>
      <c r="M16" s="6">
        <v>5</v>
      </c>
      <c r="N16" s="6">
        <v>6</v>
      </c>
      <c r="O16" s="7">
        <v>32485</v>
      </c>
      <c r="P16" s="7">
        <v>38694</v>
      </c>
      <c r="Q16" s="7">
        <v>41153.166666666664</v>
      </c>
      <c r="R16" s="7">
        <v>51900</v>
      </c>
      <c r="S16" s="7">
        <f t="shared" si="0"/>
        <v>39900</v>
      </c>
      <c r="T16" s="7"/>
      <c r="U16" s="8">
        <v>0.2</v>
      </c>
      <c r="V16" s="7" t="str">
        <f t="shared" si="1"/>
        <v/>
      </c>
      <c r="W16" s="6" t="s">
        <v>74</v>
      </c>
      <c r="X16" s="6">
        <v>36</v>
      </c>
      <c r="Y16" s="9">
        <v>30000</v>
      </c>
      <c r="Z16" s="10" t="s">
        <v>200</v>
      </c>
      <c r="AA16" s="10" t="s">
        <v>201</v>
      </c>
      <c r="AB16" s="10" t="s">
        <v>202</v>
      </c>
      <c r="AC16" s="6" t="e">
        <f ca="1">_xludf.IMAGE(AD16,"Volkswagen Taigo",0)</f>
        <v>#NAME?</v>
      </c>
      <c r="AD16" s="6" t="s">
        <v>203</v>
      </c>
      <c r="AE16" s="6" t="s">
        <v>204</v>
      </c>
      <c r="AF16" s="10" t="s">
        <v>93</v>
      </c>
      <c r="AG16" s="10" t="s">
        <v>81</v>
      </c>
      <c r="AH16" s="10" t="s">
        <v>205</v>
      </c>
    </row>
    <row r="17" spans="1:34" ht="78" customHeight="1">
      <c r="A17" s="6" t="s">
        <v>206</v>
      </c>
      <c r="B17" s="6" t="s">
        <v>1175</v>
      </c>
      <c r="C17" s="6" t="s">
        <v>97</v>
      </c>
      <c r="D17" s="6" t="s">
        <v>98</v>
      </c>
      <c r="E17" s="6" t="s">
        <v>207</v>
      </c>
      <c r="F17" s="10" t="s">
        <v>208</v>
      </c>
      <c r="G17" s="6" t="s">
        <v>71</v>
      </c>
      <c r="H17" s="6" t="s">
        <v>8</v>
      </c>
      <c r="I17" s="6" t="s">
        <v>209</v>
      </c>
      <c r="J17" s="6" t="s">
        <v>101</v>
      </c>
      <c r="K17" s="6" t="s">
        <v>102</v>
      </c>
      <c r="L17" s="6">
        <v>145</v>
      </c>
      <c r="M17" s="6">
        <v>5</v>
      </c>
      <c r="N17" s="6">
        <v>2</v>
      </c>
      <c r="O17" s="7">
        <v>51900</v>
      </c>
      <c r="P17" s="7">
        <v>54688.5</v>
      </c>
      <c r="Q17" s="7">
        <v>54688.5</v>
      </c>
      <c r="R17" s="7">
        <v>57477</v>
      </c>
      <c r="S17" s="7">
        <f t="shared" si="0"/>
        <v>56300</v>
      </c>
      <c r="T17" s="7"/>
      <c r="U17" s="8">
        <v>0.2</v>
      </c>
      <c r="V17" s="7" t="str">
        <f t="shared" si="1"/>
        <v/>
      </c>
      <c r="W17" s="6" t="s">
        <v>74</v>
      </c>
      <c r="X17" s="6">
        <v>36</v>
      </c>
      <c r="Y17" s="9">
        <v>30000</v>
      </c>
      <c r="Z17" s="10" t="s">
        <v>210</v>
      </c>
      <c r="AA17" s="10" t="s">
        <v>211</v>
      </c>
      <c r="AB17" s="10" t="s">
        <v>212</v>
      </c>
      <c r="AC17" s="6" t="e">
        <f ca="1">_xludf.IMAGE(AD17,"Opel Frontera",0)</f>
        <v>#NAME?</v>
      </c>
      <c r="AD17" s="6" t="s">
        <v>213</v>
      </c>
      <c r="AE17" s="6" t="s">
        <v>214</v>
      </c>
      <c r="AF17" s="10" t="s">
        <v>93</v>
      </c>
      <c r="AG17" s="10" t="s">
        <v>215</v>
      </c>
      <c r="AH17" s="10" t="s">
        <v>216</v>
      </c>
    </row>
    <row r="18" spans="1:34" ht="78" customHeight="1">
      <c r="A18" s="6" t="s">
        <v>217</v>
      </c>
      <c r="B18" s="6" t="s">
        <v>1175</v>
      </c>
      <c r="C18" s="6" t="s">
        <v>97</v>
      </c>
      <c r="D18" s="6" t="s">
        <v>218</v>
      </c>
      <c r="E18" s="6" t="s">
        <v>219</v>
      </c>
      <c r="F18" s="10" t="s">
        <v>220</v>
      </c>
      <c r="G18" s="6" t="s">
        <v>71</v>
      </c>
      <c r="H18" s="6" t="s">
        <v>8</v>
      </c>
      <c r="I18" s="6" t="s">
        <v>126</v>
      </c>
      <c r="J18" s="6" t="s">
        <v>221</v>
      </c>
      <c r="K18" s="6" t="s">
        <v>222</v>
      </c>
      <c r="L18" s="6">
        <v>145</v>
      </c>
      <c r="M18" s="6">
        <v>5</v>
      </c>
      <c r="N18" s="6">
        <v>3</v>
      </c>
      <c r="O18" s="7">
        <v>55550</v>
      </c>
      <c r="P18" s="7">
        <v>55900</v>
      </c>
      <c r="Q18" s="7">
        <v>56672</v>
      </c>
      <c r="R18" s="7">
        <v>58566</v>
      </c>
      <c r="S18" s="7">
        <f t="shared" si="0"/>
        <v>57600</v>
      </c>
      <c r="T18" s="7"/>
      <c r="U18" s="8">
        <v>0.2</v>
      </c>
      <c r="V18" s="7" t="str">
        <f t="shared" si="1"/>
        <v/>
      </c>
      <c r="W18" s="6" t="s">
        <v>74</v>
      </c>
      <c r="X18" s="6">
        <v>36</v>
      </c>
      <c r="Y18" s="9">
        <v>30000</v>
      </c>
      <c r="Z18" s="10" t="s">
        <v>223</v>
      </c>
      <c r="AA18" s="10" t="s">
        <v>224</v>
      </c>
      <c r="AB18" s="10" t="s">
        <v>225</v>
      </c>
      <c r="AC18" s="6" t="e">
        <f ca="1">_xludf.IMAGE(AD18,"Peugeot 2008",0)</f>
        <v>#NAME?</v>
      </c>
      <c r="AD18" s="6" t="s">
        <v>226</v>
      </c>
      <c r="AE18" s="6" t="s">
        <v>227</v>
      </c>
      <c r="AF18" s="10" t="s">
        <v>108</v>
      </c>
      <c r="AG18" s="10" t="s">
        <v>94</v>
      </c>
      <c r="AH18" s="10" t="s">
        <v>228</v>
      </c>
    </row>
    <row r="19" spans="1:34" ht="78" customHeight="1">
      <c r="A19" s="6" t="s">
        <v>229</v>
      </c>
      <c r="B19" s="6" t="s">
        <v>1175</v>
      </c>
      <c r="C19" s="6" t="s">
        <v>67</v>
      </c>
      <c r="D19" s="6" t="s">
        <v>68</v>
      </c>
      <c r="E19" s="6" t="s">
        <v>230</v>
      </c>
      <c r="F19" s="10" t="s">
        <v>231</v>
      </c>
      <c r="G19" s="6" t="s">
        <v>71</v>
      </c>
      <c r="H19" s="6" t="s">
        <v>8</v>
      </c>
      <c r="I19" s="6" t="s">
        <v>209</v>
      </c>
      <c r="J19" s="6" t="s">
        <v>6</v>
      </c>
      <c r="K19" s="6" t="s">
        <v>158</v>
      </c>
      <c r="L19" s="6">
        <v>145</v>
      </c>
      <c r="M19" s="6">
        <v>5</v>
      </c>
      <c r="N19" s="6">
        <v>2</v>
      </c>
      <c r="O19" s="7">
        <v>45833</v>
      </c>
      <c r="P19" s="7">
        <v>51916.5</v>
      </c>
      <c r="Q19" s="7">
        <v>51916.5</v>
      </c>
      <c r="R19" s="7">
        <v>58000</v>
      </c>
      <c r="S19" s="7">
        <f t="shared" si="0"/>
        <v>53500</v>
      </c>
      <c r="T19" s="7"/>
      <c r="U19" s="8">
        <v>0.2</v>
      </c>
      <c r="V19" s="7" t="str">
        <f t="shared" si="1"/>
        <v/>
      </c>
      <c r="W19" s="6" t="s">
        <v>74</v>
      </c>
      <c r="X19" s="6">
        <v>36</v>
      </c>
      <c r="Y19" s="9">
        <v>30000</v>
      </c>
      <c r="Z19" s="10" t="s">
        <v>232</v>
      </c>
      <c r="AA19" s="10" t="s">
        <v>233</v>
      </c>
      <c r="AB19" s="10" t="s">
        <v>234</v>
      </c>
      <c r="AC19" s="6" t="e">
        <f ca="1">_xludf.IMAGE(AD19,"Renault Duster",0)</f>
        <v>#NAME?</v>
      </c>
      <c r="AD19" s="6" t="s">
        <v>235</v>
      </c>
      <c r="AE19" s="6" t="s">
        <v>236</v>
      </c>
      <c r="AF19" s="10" t="s">
        <v>80</v>
      </c>
      <c r="AG19" s="10" t="s">
        <v>94</v>
      </c>
      <c r="AH19" s="10" t="s">
        <v>237</v>
      </c>
    </row>
    <row r="20" spans="1:34" ht="78" customHeight="1">
      <c r="A20" s="6" t="s">
        <v>238</v>
      </c>
      <c r="B20" s="6" t="s">
        <v>1175</v>
      </c>
      <c r="C20" s="6" t="s">
        <v>67</v>
      </c>
      <c r="D20" s="6" t="s">
        <v>239</v>
      </c>
      <c r="E20" s="6" t="s">
        <v>240</v>
      </c>
      <c r="F20" s="10" t="s">
        <v>241</v>
      </c>
      <c r="G20" s="6" t="s">
        <v>71</v>
      </c>
      <c r="H20" s="6" t="s">
        <v>8</v>
      </c>
      <c r="I20" s="6" t="s">
        <v>209</v>
      </c>
      <c r="J20" s="6" t="s">
        <v>101</v>
      </c>
      <c r="K20" s="6" t="s">
        <v>73</v>
      </c>
      <c r="L20" s="6">
        <v>158</v>
      </c>
      <c r="M20" s="6">
        <v>5</v>
      </c>
      <c r="N20" s="6">
        <v>4</v>
      </c>
      <c r="O20" s="7">
        <v>37950</v>
      </c>
      <c r="P20" s="7">
        <v>63283</v>
      </c>
      <c r="Q20" s="7">
        <v>78438</v>
      </c>
      <c r="R20" s="7">
        <v>149236</v>
      </c>
      <c r="S20" s="7">
        <f t="shared" si="0"/>
        <v>65200</v>
      </c>
      <c r="T20" s="7"/>
      <c r="U20" s="8">
        <v>0.2</v>
      </c>
      <c r="V20" s="7" t="str">
        <f t="shared" si="1"/>
        <v/>
      </c>
      <c r="W20" s="6" t="s">
        <v>74</v>
      </c>
      <c r="X20" s="6">
        <v>36</v>
      </c>
      <c r="Y20" s="9">
        <v>30000</v>
      </c>
      <c r="Z20" s="10" t="s">
        <v>242</v>
      </c>
      <c r="AA20" s="10" t="s">
        <v>243</v>
      </c>
      <c r="AB20" s="10" t="s">
        <v>244</v>
      </c>
      <c r="AC20" s="6" t="e">
        <f ca="1">_xludf.IMAGE(AD20,"Nissan Qashqai",0)</f>
        <v>#NAME?</v>
      </c>
      <c r="AD20" s="6" t="s">
        <v>245</v>
      </c>
      <c r="AE20" s="6" t="s">
        <v>246</v>
      </c>
      <c r="AF20" s="10" t="s">
        <v>80</v>
      </c>
      <c r="AG20" s="10" t="s">
        <v>94</v>
      </c>
      <c r="AH20" s="10" t="s">
        <v>247</v>
      </c>
    </row>
    <row r="21" spans="1:34" ht="78" customHeight="1">
      <c r="A21" s="6" t="s">
        <v>248</v>
      </c>
      <c r="B21" s="6" t="s">
        <v>1175</v>
      </c>
      <c r="C21" s="6" t="s">
        <v>67</v>
      </c>
      <c r="D21" s="6" t="s">
        <v>218</v>
      </c>
      <c r="E21" s="6" t="s">
        <v>249</v>
      </c>
      <c r="F21" s="10" t="s">
        <v>250</v>
      </c>
      <c r="G21" s="6" t="s">
        <v>71</v>
      </c>
      <c r="H21" s="6" t="s">
        <v>8</v>
      </c>
      <c r="I21" s="6" t="s">
        <v>209</v>
      </c>
      <c r="J21" s="6" t="s">
        <v>221</v>
      </c>
      <c r="K21" s="6" t="s">
        <v>222</v>
      </c>
      <c r="L21" s="6">
        <v>145</v>
      </c>
      <c r="M21" s="6">
        <v>5</v>
      </c>
      <c r="N21" s="6">
        <v>5</v>
      </c>
      <c r="O21" s="7">
        <v>58230</v>
      </c>
      <c r="P21" s="7">
        <v>75000</v>
      </c>
      <c r="Q21" s="7">
        <v>71278</v>
      </c>
      <c r="R21" s="7">
        <v>80735</v>
      </c>
      <c r="S21" s="7">
        <f t="shared" si="0"/>
        <v>77300</v>
      </c>
      <c r="T21" s="7"/>
      <c r="U21" s="8">
        <v>0.2</v>
      </c>
      <c r="V21" s="7" t="str">
        <f t="shared" si="1"/>
        <v/>
      </c>
      <c r="W21" s="6" t="s">
        <v>74</v>
      </c>
      <c r="X21" s="6">
        <v>36</v>
      </c>
      <c r="Y21" s="9">
        <v>30000</v>
      </c>
      <c r="Z21" s="10" t="s">
        <v>251</v>
      </c>
      <c r="AA21" s="10" t="s">
        <v>252</v>
      </c>
      <c r="AB21" s="10" t="s">
        <v>253</v>
      </c>
      <c r="AC21" s="6" t="e">
        <f ca="1">_xludf.IMAGE(AD21,"Peugeot 3008",0)</f>
        <v>#NAME?</v>
      </c>
      <c r="AD21" s="6" t="s">
        <v>254</v>
      </c>
      <c r="AE21" s="6" t="s">
        <v>255</v>
      </c>
      <c r="AF21" s="10" t="s">
        <v>93</v>
      </c>
      <c r="AG21" s="10" t="s">
        <v>94</v>
      </c>
      <c r="AH21" s="10" t="s">
        <v>256</v>
      </c>
    </row>
    <row r="22" spans="1:34" ht="78" customHeight="1">
      <c r="A22" s="6" t="s">
        <v>257</v>
      </c>
      <c r="B22" s="6" t="s">
        <v>1175</v>
      </c>
      <c r="C22" s="6" t="s">
        <v>97</v>
      </c>
      <c r="D22" s="6" t="s">
        <v>195</v>
      </c>
      <c r="E22" s="6" t="s">
        <v>258</v>
      </c>
      <c r="F22" s="10" t="s">
        <v>259</v>
      </c>
      <c r="G22" s="6" t="s">
        <v>71</v>
      </c>
      <c r="H22" s="6" t="s">
        <v>8</v>
      </c>
      <c r="I22" s="6" t="s">
        <v>209</v>
      </c>
      <c r="J22" s="6" t="s">
        <v>101</v>
      </c>
      <c r="K22" s="6" t="s">
        <v>127</v>
      </c>
      <c r="L22" s="6">
        <v>150</v>
      </c>
      <c r="M22" s="6">
        <v>5</v>
      </c>
      <c r="N22" s="6">
        <v>3</v>
      </c>
      <c r="O22" s="7">
        <v>49000</v>
      </c>
      <c r="P22" s="7">
        <v>65000</v>
      </c>
      <c r="Q22" s="7">
        <v>59666.666666666664</v>
      </c>
      <c r="R22" s="7">
        <v>65000</v>
      </c>
      <c r="S22" s="7">
        <f t="shared" si="0"/>
        <v>67000</v>
      </c>
      <c r="T22" s="7"/>
      <c r="U22" s="8">
        <v>0.2</v>
      </c>
      <c r="V22" s="7" t="str">
        <f t="shared" si="1"/>
        <v/>
      </c>
      <c r="W22" s="6" t="s">
        <v>74</v>
      </c>
      <c r="X22" s="6">
        <v>36</v>
      </c>
      <c r="Y22" s="9">
        <v>30000</v>
      </c>
      <c r="Z22" s="10" t="s">
        <v>260</v>
      </c>
      <c r="AA22" s="10" t="s">
        <v>261</v>
      </c>
      <c r="AB22" s="10" t="s">
        <v>262</v>
      </c>
      <c r="AC22" s="6" t="e">
        <f ca="1">_xludf.IMAGE(AD22,"Volkswagen T-Roc",0)</f>
        <v>#NAME?</v>
      </c>
      <c r="AD22" s="6" t="s">
        <v>263</v>
      </c>
      <c r="AE22" s="6" t="s">
        <v>264</v>
      </c>
      <c r="AF22" s="10" t="s">
        <v>93</v>
      </c>
      <c r="AG22" s="10" t="s">
        <v>94</v>
      </c>
      <c r="AH22" s="10" t="s">
        <v>265</v>
      </c>
    </row>
    <row r="23" spans="1:34" ht="78" customHeight="1">
      <c r="A23" s="6" t="s">
        <v>266</v>
      </c>
      <c r="B23" s="6" t="s">
        <v>1175</v>
      </c>
      <c r="C23" s="6" t="s">
        <v>67</v>
      </c>
      <c r="D23" s="6" t="s">
        <v>68</v>
      </c>
      <c r="E23" s="6" t="s">
        <v>267</v>
      </c>
      <c r="F23" s="10" t="s">
        <v>268</v>
      </c>
      <c r="G23" s="6" t="s">
        <v>71</v>
      </c>
      <c r="H23" s="6" t="s">
        <v>8</v>
      </c>
      <c r="I23" s="6" t="s">
        <v>209</v>
      </c>
      <c r="J23" s="6" t="s">
        <v>101</v>
      </c>
      <c r="K23" s="6" t="s">
        <v>269</v>
      </c>
      <c r="L23" s="6">
        <v>150</v>
      </c>
      <c r="M23" s="6">
        <v>5</v>
      </c>
      <c r="N23" s="6">
        <v>2</v>
      </c>
      <c r="O23" s="7">
        <v>52000</v>
      </c>
      <c r="P23" s="7">
        <v>63550</v>
      </c>
      <c r="Q23" s="7">
        <v>63550</v>
      </c>
      <c r="R23" s="7">
        <v>75100</v>
      </c>
      <c r="S23" s="7">
        <f t="shared" si="0"/>
        <v>65500</v>
      </c>
      <c r="T23" s="7"/>
      <c r="U23" s="8">
        <v>0.2</v>
      </c>
      <c r="V23" s="7" t="str">
        <f t="shared" si="1"/>
        <v/>
      </c>
      <c r="W23" s="6" t="s">
        <v>74</v>
      </c>
      <c r="X23" s="6">
        <v>36</v>
      </c>
      <c r="Y23" s="9">
        <v>30000</v>
      </c>
      <c r="Z23" s="10" t="s">
        <v>270</v>
      </c>
      <c r="AA23" s="10" t="s">
        <v>271</v>
      </c>
      <c r="AB23" s="10" t="s">
        <v>272</v>
      </c>
      <c r="AC23" s="6" t="e">
        <f ca="1">_xludf.IMAGE(AD23,"Renault Austral",0)</f>
        <v>#NAME?</v>
      </c>
      <c r="AD23" s="6" t="s">
        <v>273</v>
      </c>
      <c r="AE23" s="6" t="s">
        <v>274</v>
      </c>
      <c r="AF23" s="10" t="s">
        <v>275</v>
      </c>
      <c r="AG23" s="10" t="s">
        <v>81</v>
      </c>
      <c r="AH23" s="10" t="s">
        <v>276</v>
      </c>
    </row>
    <row r="24" spans="1:34" ht="78" customHeight="1">
      <c r="A24" s="6" t="s">
        <v>277</v>
      </c>
      <c r="B24" s="6" t="s">
        <v>1175</v>
      </c>
      <c r="C24" s="6" t="s">
        <v>97</v>
      </c>
      <c r="D24" s="6" t="s">
        <v>278</v>
      </c>
      <c r="E24" s="6" t="s">
        <v>279</v>
      </c>
      <c r="F24" s="10" t="s">
        <v>280</v>
      </c>
      <c r="G24" s="6" t="s">
        <v>71</v>
      </c>
      <c r="H24" s="6" t="s">
        <v>8</v>
      </c>
      <c r="I24" s="6" t="s">
        <v>209</v>
      </c>
      <c r="J24" s="6" t="s">
        <v>6</v>
      </c>
      <c r="K24" s="6" t="s">
        <v>87</v>
      </c>
      <c r="L24" s="6">
        <v>150</v>
      </c>
      <c r="M24" s="6">
        <v>5</v>
      </c>
      <c r="N24" s="6">
        <v>2</v>
      </c>
      <c r="O24" s="7">
        <v>51800</v>
      </c>
      <c r="P24" s="7">
        <v>54850</v>
      </c>
      <c r="Q24" s="7">
        <v>54850</v>
      </c>
      <c r="R24" s="7">
        <v>57900</v>
      </c>
      <c r="S24" s="7">
        <f t="shared" si="0"/>
        <v>56500</v>
      </c>
      <c r="T24" s="7"/>
      <c r="U24" s="8">
        <v>0.2</v>
      </c>
      <c r="V24" s="7" t="str">
        <f t="shared" si="1"/>
        <v/>
      </c>
      <c r="W24" s="6" t="s">
        <v>74</v>
      </c>
      <c r="X24" s="6">
        <v>36</v>
      </c>
      <c r="Y24" s="9">
        <v>30000</v>
      </c>
      <c r="Z24" s="10" t="s">
        <v>281</v>
      </c>
      <c r="AA24" s="10" t="s">
        <v>282</v>
      </c>
      <c r="AB24" s="10" t="s">
        <v>283</v>
      </c>
      <c r="AC24" s="6" t="e">
        <f ca="1">_xludf.IMAGE(AD24,"Kia Sportage",0)</f>
        <v>#NAME?</v>
      </c>
      <c r="AD24" s="6" t="s">
        <v>284</v>
      </c>
      <c r="AE24" s="6" t="s">
        <v>285</v>
      </c>
      <c r="AF24" s="10" t="s">
        <v>108</v>
      </c>
      <c r="AG24" s="10" t="s">
        <v>94</v>
      </c>
      <c r="AH24" s="10" t="s">
        <v>286</v>
      </c>
    </row>
    <row r="25" spans="1:34" ht="78" customHeight="1">
      <c r="A25" s="6" t="s">
        <v>287</v>
      </c>
      <c r="B25" s="6" t="s">
        <v>1175</v>
      </c>
      <c r="C25" s="6" t="s">
        <v>97</v>
      </c>
      <c r="D25" s="6" t="s">
        <v>218</v>
      </c>
      <c r="E25" s="6" t="s">
        <v>288</v>
      </c>
      <c r="F25" s="10" t="s">
        <v>220</v>
      </c>
      <c r="G25" s="6" t="s">
        <v>71</v>
      </c>
      <c r="H25" s="6" t="s">
        <v>5</v>
      </c>
      <c r="I25" s="6" t="s">
        <v>289</v>
      </c>
      <c r="J25" s="6" t="s">
        <v>221</v>
      </c>
      <c r="K25" s="6" t="s">
        <v>222</v>
      </c>
      <c r="L25" s="6">
        <v>145</v>
      </c>
      <c r="M25" s="6">
        <v>5</v>
      </c>
      <c r="N25" s="6">
        <v>2</v>
      </c>
      <c r="O25" s="7">
        <v>58430</v>
      </c>
      <c r="P25" s="7">
        <v>59677.5</v>
      </c>
      <c r="Q25" s="7">
        <v>59677.5</v>
      </c>
      <c r="R25" s="7">
        <v>60925</v>
      </c>
      <c r="S25" s="7">
        <f t="shared" si="0"/>
        <v>61500</v>
      </c>
      <c r="T25" s="7"/>
      <c r="U25" s="8">
        <v>0.2</v>
      </c>
      <c r="V25" s="7" t="str">
        <f t="shared" si="1"/>
        <v/>
      </c>
      <c r="W25" s="6" t="s">
        <v>74</v>
      </c>
      <c r="X25" s="6">
        <v>36</v>
      </c>
      <c r="Y25" s="9">
        <v>30000</v>
      </c>
      <c r="Z25" s="10" t="s">
        <v>290</v>
      </c>
      <c r="AA25" s="10" t="s">
        <v>291</v>
      </c>
      <c r="AB25" s="10" t="s">
        <v>292</v>
      </c>
      <c r="AC25" s="6" t="e">
        <f ca="1">_xludf.IMAGE(AD25,"Peugeot 408",0)</f>
        <v>#NAME?</v>
      </c>
      <c r="AD25" s="6" t="s">
        <v>293</v>
      </c>
      <c r="AE25" s="6" t="s">
        <v>294</v>
      </c>
      <c r="AF25" s="10" t="s">
        <v>295</v>
      </c>
      <c r="AG25" s="10" t="s">
        <v>94</v>
      </c>
      <c r="AH25" s="10" t="s">
        <v>296</v>
      </c>
    </row>
    <row r="26" spans="1:34" ht="78" customHeight="1">
      <c r="A26" s="6" t="s">
        <v>297</v>
      </c>
      <c r="B26" s="6" t="s">
        <v>1175</v>
      </c>
      <c r="C26" s="6" t="s">
        <v>97</v>
      </c>
      <c r="D26" s="6" t="s">
        <v>298</v>
      </c>
      <c r="E26" s="6" t="s">
        <v>299</v>
      </c>
      <c r="F26" s="10" t="s">
        <v>300</v>
      </c>
      <c r="G26" s="6" t="s">
        <v>71</v>
      </c>
      <c r="H26" s="6" t="s">
        <v>8</v>
      </c>
      <c r="I26" s="6" t="s">
        <v>301</v>
      </c>
      <c r="J26" s="6" t="s">
        <v>14</v>
      </c>
      <c r="K26" s="6" t="s">
        <v>302</v>
      </c>
      <c r="L26" s="6"/>
      <c r="M26" s="6">
        <v>5</v>
      </c>
      <c r="N26" s="6">
        <v>5</v>
      </c>
      <c r="O26" s="7">
        <v>67950</v>
      </c>
      <c r="P26" s="7">
        <v>78000</v>
      </c>
      <c r="Q26" s="7">
        <v>81760</v>
      </c>
      <c r="R26" s="7">
        <v>109950</v>
      </c>
      <c r="S26" s="7">
        <f t="shared" si="0"/>
        <v>80300</v>
      </c>
      <c r="T26" s="7"/>
      <c r="U26" s="8">
        <v>0.2</v>
      </c>
      <c r="V26" s="7" t="str">
        <f t="shared" si="1"/>
        <v/>
      </c>
      <c r="W26" s="6" t="s">
        <v>74</v>
      </c>
      <c r="X26" s="6">
        <v>36</v>
      </c>
      <c r="Y26" s="9">
        <v>30000</v>
      </c>
      <c r="Z26" s="10" t="s">
        <v>303</v>
      </c>
      <c r="AA26" s="10" t="s">
        <v>304</v>
      </c>
      <c r="AB26" s="10" t="s">
        <v>305</v>
      </c>
      <c r="AC26" s="6" t="e">
        <f ca="1">_xludf.IMAGE(AD26,"Tesla Model Y",0)</f>
        <v>#NAME?</v>
      </c>
      <c r="AD26" s="6" t="s">
        <v>306</v>
      </c>
      <c r="AE26" s="6" t="s">
        <v>307</v>
      </c>
      <c r="AF26" s="10" t="s">
        <v>308</v>
      </c>
      <c r="AG26" s="10" t="s">
        <v>215</v>
      </c>
      <c r="AH26" s="10" t="s">
        <v>309</v>
      </c>
    </row>
    <row r="27" spans="1:34" ht="78" customHeight="1">
      <c r="A27" s="6" t="s">
        <v>310</v>
      </c>
      <c r="B27" s="6" t="s">
        <v>1175</v>
      </c>
      <c r="C27" s="6" t="s">
        <v>97</v>
      </c>
      <c r="D27" s="6" t="s">
        <v>278</v>
      </c>
      <c r="E27" s="6" t="s">
        <v>311</v>
      </c>
      <c r="F27" s="10" t="s">
        <v>312</v>
      </c>
      <c r="G27" s="6" t="s">
        <v>71</v>
      </c>
      <c r="H27" s="6" t="s">
        <v>8</v>
      </c>
      <c r="I27" s="6" t="s">
        <v>313</v>
      </c>
      <c r="J27" s="6" t="s">
        <v>14</v>
      </c>
      <c r="K27" s="6" t="s">
        <v>302</v>
      </c>
      <c r="L27" s="6">
        <v>204</v>
      </c>
      <c r="M27" s="6">
        <v>5</v>
      </c>
      <c r="N27" s="6">
        <v>2</v>
      </c>
      <c r="O27" s="7">
        <v>63900</v>
      </c>
      <c r="P27" s="7">
        <v>64925</v>
      </c>
      <c r="Q27" s="7">
        <v>64925</v>
      </c>
      <c r="R27" s="7">
        <v>65950</v>
      </c>
      <c r="S27" s="7">
        <f t="shared" si="0"/>
        <v>66900</v>
      </c>
      <c r="T27" s="7"/>
      <c r="U27" s="8">
        <v>0.2</v>
      </c>
      <c r="V27" s="7" t="str">
        <f t="shared" si="1"/>
        <v/>
      </c>
      <c r="W27" s="6" t="s">
        <v>74</v>
      </c>
      <c r="X27" s="6">
        <v>36</v>
      </c>
      <c r="Y27" s="9">
        <v>30000</v>
      </c>
      <c r="Z27" s="10" t="s">
        <v>314</v>
      </c>
      <c r="AA27" s="10" t="s">
        <v>315</v>
      </c>
      <c r="AB27" s="10" t="s">
        <v>316</v>
      </c>
      <c r="AC27" s="6" t="e">
        <f ca="1">_xludf.IMAGE(AD27,"Kia EV3",0)</f>
        <v>#NAME?</v>
      </c>
      <c r="AD27" s="6" t="s">
        <v>317</v>
      </c>
      <c r="AE27" s="6" t="s">
        <v>318</v>
      </c>
      <c r="AF27" s="10" t="s">
        <v>108</v>
      </c>
      <c r="AG27" s="10" t="s">
        <v>81</v>
      </c>
      <c r="AH27" s="10" t="s">
        <v>319</v>
      </c>
    </row>
    <row r="28" spans="1:34" ht="78" customHeight="1">
      <c r="A28" s="6" t="s">
        <v>320</v>
      </c>
      <c r="B28" s="6" t="s">
        <v>1175</v>
      </c>
      <c r="C28" s="6" t="s">
        <v>97</v>
      </c>
      <c r="D28" s="6" t="s">
        <v>321</v>
      </c>
      <c r="E28" s="6" t="s">
        <v>322</v>
      </c>
      <c r="F28" s="10" t="s">
        <v>323</v>
      </c>
      <c r="G28" s="6" t="s">
        <v>71</v>
      </c>
      <c r="H28" s="6" t="s">
        <v>5</v>
      </c>
      <c r="I28" s="6" t="s">
        <v>324</v>
      </c>
      <c r="J28" s="6" t="s">
        <v>6</v>
      </c>
      <c r="K28" s="6" t="s">
        <v>325</v>
      </c>
      <c r="L28" s="6">
        <v>170</v>
      </c>
      <c r="M28" s="6">
        <v>5</v>
      </c>
      <c r="N28" s="6">
        <v>4</v>
      </c>
      <c r="O28" s="7">
        <v>85300</v>
      </c>
      <c r="P28" s="7">
        <v>106601</v>
      </c>
      <c r="Q28" s="7">
        <v>105875.5</v>
      </c>
      <c r="R28" s="7">
        <v>125000</v>
      </c>
      <c r="S28" s="7">
        <f t="shared" si="0"/>
        <v>109800</v>
      </c>
      <c r="T28" s="7"/>
      <c r="U28" s="8">
        <v>0.2</v>
      </c>
      <c r="V28" s="7" t="str">
        <f t="shared" si="1"/>
        <v/>
      </c>
      <c r="W28" s="6" t="s">
        <v>74</v>
      </c>
      <c r="X28" s="6">
        <v>36</v>
      </c>
      <c r="Y28" s="9">
        <v>30000</v>
      </c>
      <c r="Z28" s="10" t="s">
        <v>326</v>
      </c>
      <c r="AA28" s="10" t="s">
        <v>327</v>
      </c>
      <c r="AB28" s="10" t="s">
        <v>328</v>
      </c>
      <c r="AC28" s="6" t="e">
        <f ca="1">_xludf.IMAGE(AD28,"BMW 320i Sedan",0)</f>
        <v>#NAME?</v>
      </c>
      <c r="AD28" s="6" t="s">
        <v>329</v>
      </c>
      <c r="AE28" s="6" t="s">
        <v>330</v>
      </c>
      <c r="AF28" s="10" t="s">
        <v>295</v>
      </c>
      <c r="AG28" s="10" t="s">
        <v>81</v>
      </c>
      <c r="AH28" s="10" t="s">
        <v>331</v>
      </c>
    </row>
    <row r="29" spans="1:34" ht="78" customHeight="1">
      <c r="A29" s="6" t="s">
        <v>332</v>
      </c>
      <c r="B29" s="6" t="s">
        <v>1175</v>
      </c>
      <c r="C29" s="6" t="s">
        <v>67</v>
      </c>
      <c r="D29" s="6" t="s">
        <v>111</v>
      </c>
      <c r="E29" s="6" t="s">
        <v>333</v>
      </c>
      <c r="F29" s="10" t="s">
        <v>334</v>
      </c>
      <c r="G29" s="6" t="s">
        <v>71</v>
      </c>
      <c r="H29" s="6" t="s">
        <v>9</v>
      </c>
      <c r="I29" s="6" t="s">
        <v>335</v>
      </c>
      <c r="J29" s="6" t="s">
        <v>12</v>
      </c>
      <c r="K29" s="6" t="s">
        <v>336</v>
      </c>
      <c r="L29" s="6">
        <v>100</v>
      </c>
      <c r="M29" s="6">
        <v>2</v>
      </c>
      <c r="N29" s="6">
        <v>3</v>
      </c>
      <c r="O29" s="7">
        <v>28900</v>
      </c>
      <c r="P29" s="7">
        <v>31265</v>
      </c>
      <c r="Q29" s="7">
        <v>33212.333333333336</v>
      </c>
      <c r="R29" s="7">
        <v>39472</v>
      </c>
      <c r="S29" s="7">
        <f t="shared" si="0"/>
        <v>32200</v>
      </c>
      <c r="T29" s="7"/>
      <c r="U29" s="8">
        <v>0.2</v>
      </c>
      <c r="V29" s="7" t="str">
        <f t="shared" si="1"/>
        <v/>
      </c>
      <c r="W29" s="6" t="s">
        <v>74</v>
      </c>
      <c r="X29" s="6">
        <v>36</v>
      </c>
      <c r="Y29" s="9">
        <v>30000</v>
      </c>
      <c r="Z29" s="10" t="s">
        <v>337</v>
      </c>
      <c r="AA29" s="10" t="s">
        <v>338</v>
      </c>
      <c r="AB29" s="10" t="s">
        <v>339</v>
      </c>
      <c r="AC29" s="6" t="e">
        <f ca="1">_xludf.IMAGE(AD29,"Fiat Doblo Cargo",0)</f>
        <v>#NAME?</v>
      </c>
      <c r="AD29" s="6" t="s">
        <v>340</v>
      </c>
      <c r="AE29" s="6" t="s">
        <v>341</v>
      </c>
      <c r="AF29" s="10" t="s">
        <v>93</v>
      </c>
      <c r="AG29" s="10" t="s">
        <v>94</v>
      </c>
      <c r="AH29" s="10" t="s">
        <v>342</v>
      </c>
    </row>
    <row r="30" spans="1:34" ht="78" customHeight="1">
      <c r="A30" s="6" t="s">
        <v>343</v>
      </c>
      <c r="B30" s="6" t="s">
        <v>1175</v>
      </c>
      <c r="C30" s="6" t="s">
        <v>67</v>
      </c>
      <c r="D30" s="6" t="s">
        <v>111</v>
      </c>
      <c r="E30" s="6" t="s">
        <v>344</v>
      </c>
      <c r="F30" s="10" t="s">
        <v>345</v>
      </c>
      <c r="G30" s="6" t="s">
        <v>71</v>
      </c>
      <c r="H30" s="6" t="s">
        <v>9</v>
      </c>
      <c r="I30" s="6" t="s">
        <v>346</v>
      </c>
      <c r="J30" s="6" t="s">
        <v>12</v>
      </c>
      <c r="K30" s="6" t="s">
        <v>347</v>
      </c>
      <c r="L30" s="6">
        <v>130</v>
      </c>
      <c r="M30" s="6">
        <v>5</v>
      </c>
      <c r="N30" s="6">
        <v>7</v>
      </c>
      <c r="O30" s="7">
        <v>27360</v>
      </c>
      <c r="P30" s="7">
        <v>36645</v>
      </c>
      <c r="Q30" s="7">
        <v>36559.428571428572</v>
      </c>
      <c r="R30" s="7">
        <v>45000</v>
      </c>
      <c r="S30" s="7">
        <f t="shared" si="0"/>
        <v>37700</v>
      </c>
      <c r="T30" s="7"/>
      <c r="U30" s="8">
        <v>0.2</v>
      </c>
      <c r="V30" s="7" t="str">
        <f t="shared" si="1"/>
        <v/>
      </c>
      <c r="W30" s="6" t="s">
        <v>74</v>
      </c>
      <c r="X30" s="6">
        <v>36</v>
      </c>
      <c r="Y30" s="9">
        <v>30000</v>
      </c>
      <c r="Z30" s="10" t="s">
        <v>348</v>
      </c>
      <c r="AA30" s="10" t="s">
        <v>349</v>
      </c>
      <c r="AB30" s="10" t="s">
        <v>350</v>
      </c>
      <c r="AC30" s="6" t="e">
        <f ca="1">_xludf.IMAGE(AD30,"Fiat Doblo Combi",0)</f>
        <v>#NAME?</v>
      </c>
      <c r="AD30" s="6" t="s">
        <v>351</v>
      </c>
      <c r="AE30" s="6" t="s">
        <v>352</v>
      </c>
      <c r="AF30" s="10" t="s">
        <v>93</v>
      </c>
      <c r="AG30" s="10" t="s">
        <v>94</v>
      </c>
      <c r="AH30" s="10" t="s">
        <v>353</v>
      </c>
    </row>
    <row r="31" spans="1:34" ht="78" customHeight="1">
      <c r="A31" s="6" t="s">
        <v>354</v>
      </c>
      <c r="B31" s="6" t="s">
        <v>1175</v>
      </c>
      <c r="C31" s="6" t="s">
        <v>97</v>
      </c>
      <c r="D31" s="6" t="s">
        <v>111</v>
      </c>
      <c r="E31" s="6" t="s">
        <v>355</v>
      </c>
      <c r="F31" s="10" t="s">
        <v>356</v>
      </c>
      <c r="G31" s="6" t="s">
        <v>71</v>
      </c>
      <c r="H31" s="6" t="s">
        <v>9</v>
      </c>
      <c r="I31" s="6" t="s">
        <v>357</v>
      </c>
      <c r="J31" s="6" t="s">
        <v>12</v>
      </c>
      <c r="K31" s="6" t="s">
        <v>336</v>
      </c>
      <c r="L31" s="6">
        <v>120</v>
      </c>
      <c r="M31" s="6">
        <v>3</v>
      </c>
      <c r="N31" s="6">
        <v>3</v>
      </c>
      <c r="O31" s="7">
        <v>35350</v>
      </c>
      <c r="P31" s="7">
        <v>41666</v>
      </c>
      <c r="Q31" s="7">
        <v>40781</v>
      </c>
      <c r="R31" s="7">
        <v>45327</v>
      </c>
      <c r="S31" s="7">
        <f t="shared" si="0"/>
        <v>42900</v>
      </c>
      <c r="T31" s="7"/>
      <c r="U31" s="8">
        <v>0.2</v>
      </c>
      <c r="V31" s="7" t="str">
        <f t="shared" si="1"/>
        <v/>
      </c>
      <c r="W31" s="6" t="s">
        <v>74</v>
      </c>
      <c r="X31" s="6">
        <v>36</v>
      </c>
      <c r="Y31" s="9">
        <v>30000</v>
      </c>
      <c r="Z31" s="10" t="s">
        <v>358</v>
      </c>
      <c r="AA31" s="10" t="s">
        <v>359</v>
      </c>
      <c r="AB31" s="10" t="s">
        <v>360</v>
      </c>
      <c r="AC31" s="6" t="e">
        <f ca="1">_xludf.IMAGE(AD31,"Fiat Scudo Van",0)</f>
        <v>#NAME?</v>
      </c>
      <c r="AD31" s="6" t="s">
        <v>361</v>
      </c>
      <c r="AE31" s="6" t="s">
        <v>362</v>
      </c>
      <c r="AF31" s="10" t="s">
        <v>80</v>
      </c>
      <c r="AG31" s="10" t="s">
        <v>94</v>
      </c>
      <c r="AH31" s="10" t="s">
        <v>363</v>
      </c>
    </row>
    <row r="32" spans="1:34" ht="78" customHeight="1">
      <c r="A32" s="6" t="s">
        <v>364</v>
      </c>
      <c r="B32" s="6" t="s">
        <v>1175</v>
      </c>
      <c r="C32" s="6" t="s">
        <v>97</v>
      </c>
      <c r="D32" s="6" t="s">
        <v>365</v>
      </c>
      <c r="E32" s="6" t="s">
        <v>366</v>
      </c>
      <c r="F32" s="10" t="s">
        <v>367</v>
      </c>
      <c r="G32" s="6" t="s">
        <v>71</v>
      </c>
      <c r="H32" s="6" t="s">
        <v>9</v>
      </c>
      <c r="I32" s="6" t="s">
        <v>346</v>
      </c>
      <c r="J32" s="6" t="s">
        <v>6</v>
      </c>
      <c r="K32" s="6" t="s">
        <v>368</v>
      </c>
      <c r="L32" s="6">
        <v>125</v>
      </c>
      <c r="M32" s="6">
        <v>5</v>
      </c>
      <c r="N32" s="6">
        <v>4</v>
      </c>
      <c r="O32" s="7">
        <v>28000</v>
      </c>
      <c r="P32" s="7">
        <v>30500</v>
      </c>
      <c r="Q32" s="7">
        <v>36142.25</v>
      </c>
      <c r="R32" s="7">
        <v>55569</v>
      </c>
      <c r="S32" s="7">
        <f t="shared" si="0"/>
        <v>31400</v>
      </c>
      <c r="T32" s="7"/>
      <c r="U32" s="8">
        <v>0.2</v>
      </c>
      <c r="V32" s="7" t="str">
        <f t="shared" si="1"/>
        <v/>
      </c>
      <c r="W32" s="6" t="s">
        <v>74</v>
      </c>
      <c r="X32" s="6">
        <v>36</v>
      </c>
      <c r="Y32" s="9">
        <v>30000</v>
      </c>
      <c r="Z32" s="10" t="s">
        <v>369</v>
      </c>
      <c r="AA32" s="10" t="s">
        <v>370</v>
      </c>
      <c r="AB32" s="10" t="s">
        <v>371</v>
      </c>
      <c r="AC32" s="6" t="e">
        <f ca="1">_xludf.IMAGE(AD32,"Ford Tourneo Courier",0)</f>
        <v>#NAME?</v>
      </c>
      <c r="AD32" s="6" t="s">
        <v>372</v>
      </c>
      <c r="AE32" s="6" t="s">
        <v>373</v>
      </c>
      <c r="AF32" s="10" t="s">
        <v>295</v>
      </c>
      <c r="AG32" s="10" t="s">
        <v>215</v>
      </c>
      <c r="AH32" s="10" t="s">
        <v>374</v>
      </c>
    </row>
    <row r="33" spans="1:34" ht="78" customHeight="1">
      <c r="A33" s="6" t="s">
        <v>375</v>
      </c>
      <c r="B33" s="6" t="s">
        <v>1175</v>
      </c>
      <c r="C33" s="6" t="s">
        <v>67</v>
      </c>
      <c r="D33" s="6" t="s">
        <v>365</v>
      </c>
      <c r="E33" s="6" t="s">
        <v>376</v>
      </c>
      <c r="F33" s="10" t="s">
        <v>377</v>
      </c>
      <c r="G33" s="6" t="s">
        <v>71</v>
      </c>
      <c r="H33" s="6" t="s">
        <v>9</v>
      </c>
      <c r="I33" s="6" t="s">
        <v>357</v>
      </c>
      <c r="J33" s="6" t="s">
        <v>12</v>
      </c>
      <c r="K33" s="6" t="s">
        <v>378</v>
      </c>
      <c r="L33" s="6">
        <v>136</v>
      </c>
      <c r="M33" s="6">
        <v>3</v>
      </c>
      <c r="N33" s="6">
        <v>3</v>
      </c>
      <c r="O33" s="7">
        <v>59347</v>
      </c>
      <c r="P33" s="7">
        <v>60958</v>
      </c>
      <c r="Q33" s="7">
        <v>60922.666666666664</v>
      </c>
      <c r="R33" s="7">
        <v>62463</v>
      </c>
      <c r="S33" s="7">
        <f t="shared" si="0"/>
        <v>62800</v>
      </c>
      <c r="T33" s="7"/>
      <c r="U33" s="8">
        <v>0.2</v>
      </c>
      <c r="V33" s="7" t="str">
        <f t="shared" si="1"/>
        <v/>
      </c>
      <c r="W33" s="6" t="s">
        <v>74</v>
      </c>
      <c r="X33" s="6">
        <v>36</v>
      </c>
      <c r="Y33" s="9">
        <v>30000</v>
      </c>
      <c r="Z33" s="10" t="s">
        <v>379</v>
      </c>
      <c r="AA33" s="10" t="s">
        <v>380</v>
      </c>
      <c r="AB33" s="10" t="s">
        <v>381</v>
      </c>
      <c r="AC33" s="6" t="e">
        <f ca="1">_xludf.IMAGE(AD33,"Ford Transit Custom Van",0)</f>
        <v>#NAME?</v>
      </c>
      <c r="AD33" s="6" t="s">
        <v>382</v>
      </c>
      <c r="AE33" s="6" t="s">
        <v>383</v>
      </c>
      <c r="AF33" s="10" t="s">
        <v>295</v>
      </c>
      <c r="AG33" s="10" t="s">
        <v>215</v>
      </c>
      <c r="AH33" s="10" t="s">
        <v>384</v>
      </c>
    </row>
    <row r="34" spans="1:34" ht="78" customHeight="1">
      <c r="A34" s="6" t="s">
        <v>385</v>
      </c>
      <c r="B34" s="6" t="s">
        <v>1175</v>
      </c>
      <c r="C34" s="6" t="s">
        <v>97</v>
      </c>
      <c r="D34" s="6" t="s">
        <v>365</v>
      </c>
      <c r="E34" s="6" t="s">
        <v>386</v>
      </c>
      <c r="F34" s="10" t="s">
        <v>387</v>
      </c>
      <c r="G34" s="6" t="s">
        <v>71</v>
      </c>
      <c r="H34" s="6" t="s">
        <v>9</v>
      </c>
      <c r="I34" s="6" t="s">
        <v>388</v>
      </c>
      <c r="J34" s="6" t="s">
        <v>12</v>
      </c>
      <c r="K34" s="6" t="s">
        <v>336</v>
      </c>
      <c r="L34" s="6">
        <v>130</v>
      </c>
      <c r="M34" s="6">
        <v>3</v>
      </c>
      <c r="N34" s="6">
        <v>4</v>
      </c>
      <c r="O34" s="7">
        <v>45833</v>
      </c>
      <c r="P34" s="7">
        <v>62510</v>
      </c>
      <c r="Q34" s="7">
        <v>59538</v>
      </c>
      <c r="R34" s="7">
        <v>67299</v>
      </c>
      <c r="S34" s="7">
        <f t="shared" si="0"/>
        <v>64400</v>
      </c>
      <c r="T34" s="7"/>
      <c r="U34" s="8">
        <v>0.2</v>
      </c>
      <c r="V34" s="7" t="str">
        <f t="shared" si="1"/>
        <v/>
      </c>
      <c r="W34" s="6" t="s">
        <v>74</v>
      </c>
      <c r="X34" s="6">
        <v>36</v>
      </c>
      <c r="Y34" s="9">
        <v>30000</v>
      </c>
      <c r="Z34" s="10" t="s">
        <v>389</v>
      </c>
      <c r="AA34" s="10" t="s">
        <v>390</v>
      </c>
      <c r="AB34" s="10" t="s">
        <v>391</v>
      </c>
      <c r="AC34" s="6" t="e">
        <f ca="1">_xludf.IMAGE(AD34,"Ford Transit Van",0)</f>
        <v>#NAME?</v>
      </c>
      <c r="AD34" s="6" t="s">
        <v>392</v>
      </c>
      <c r="AE34" s="6" t="s">
        <v>393</v>
      </c>
      <c r="AF34" s="10" t="s">
        <v>80</v>
      </c>
      <c r="AG34" s="10" t="s">
        <v>215</v>
      </c>
      <c r="AH34" s="10" t="s">
        <v>394</v>
      </c>
    </row>
    <row r="35" spans="1:34" ht="78" customHeight="1">
      <c r="A35" s="6" t="s">
        <v>395</v>
      </c>
      <c r="B35" s="6" t="s">
        <v>1175</v>
      </c>
      <c r="C35" s="6" t="s">
        <v>97</v>
      </c>
      <c r="D35" s="6" t="s">
        <v>396</v>
      </c>
      <c r="E35" s="6" t="s">
        <v>397</v>
      </c>
      <c r="F35" s="10" t="s">
        <v>334</v>
      </c>
      <c r="G35" s="6" t="s">
        <v>71</v>
      </c>
      <c r="H35" s="6" t="s">
        <v>9</v>
      </c>
      <c r="I35" s="6" t="s">
        <v>335</v>
      </c>
      <c r="J35" s="6" t="s">
        <v>12</v>
      </c>
      <c r="K35" s="6" t="s">
        <v>336</v>
      </c>
      <c r="L35" s="6">
        <v>100</v>
      </c>
      <c r="M35" s="6">
        <v>3</v>
      </c>
      <c r="N35" s="6">
        <v>1</v>
      </c>
      <c r="O35" s="7">
        <v>37500</v>
      </c>
      <c r="P35" s="7">
        <v>37500</v>
      </c>
      <c r="Q35" s="7">
        <v>37500</v>
      </c>
      <c r="R35" s="7">
        <v>37500</v>
      </c>
      <c r="S35" s="7">
        <f t="shared" si="0"/>
        <v>38600</v>
      </c>
      <c r="T35" s="7"/>
      <c r="U35" s="8">
        <v>0.2</v>
      </c>
      <c r="V35" s="7" t="str">
        <f t="shared" si="1"/>
        <v/>
      </c>
      <c r="W35" s="6" t="s">
        <v>74</v>
      </c>
      <c r="X35" s="6">
        <v>36</v>
      </c>
      <c r="Y35" s="9">
        <v>30000</v>
      </c>
      <c r="Z35" s="10" t="s">
        <v>398</v>
      </c>
      <c r="AA35" s="10" t="s">
        <v>399</v>
      </c>
      <c r="AB35" s="10" t="s">
        <v>400</v>
      </c>
      <c r="AC35" s="6" t="e">
        <f ca="1">_xludf.IMAGE(AD35,"Citroën Berlingo Van",0)</f>
        <v>#NAME?</v>
      </c>
      <c r="AD35" s="6" t="s">
        <v>401</v>
      </c>
      <c r="AE35" s="6" t="s">
        <v>402</v>
      </c>
      <c r="AF35" s="10" t="s">
        <v>80</v>
      </c>
      <c r="AG35" s="10" t="s">
        <v>81</v>
      </c>
      <c r="AH35" s="10" t="s">
        <v>403</v>
      </c>
    </row>
    <row r="36" spans="1:34" ht="78" customHeight="1">
      <c r="A36" s="6" t="s">
        <v>404</v>
      </c>
      <c r="B36" s="6" t="s">
        <v>1175</v>
      </c>
      <c r="C36" s="6" t="s">
        <v>97</v>
      </c>
      <c r="D36" s="6" t="s">
        <v>111</v>
      </c>
      <c r="E36" s="6" t="s">
        <v>405</v>
      </c>
      <c r="F36" s="10" t="s">
        <v>406</v>
      </c>
      <c r="G36" s="6" t="s">
        <v>71</v>
      </c>
      <c r="H36" s="6" t="s">
        <v>9</v>
      </c>
      <c r="I36" s="6" t="s">
        <v>388</v>
      </c>
      <c r="J36" s="6" t="s">
        <v>12</v>
      </c>
      <c r="K36" s="6" t="s">
        <v>336</v>
      </c>
      <c r="L36" s="6">
        <v>140</v>
      </c>
      <c r="M36" s="6">
        <v>3</v>
      </c>
      <c r="N36" s="6">
        <v>2</v>
      </c>
      <c r="O36" s="7">
        <v>49763</v>
      </c>
      <c r="P36" s="7">
        <v>51964.5</v>
      </c>
      <c r="Q36" s="7">
        <v>51964.5</v>
      </c>
      <c r="R36" s="7">
        <v>54166</v>
      </c>
      <c r="S36" s="7">
        <f t="shared" si="0"/>
        <v>53500</v>
      </c>
      <c r="T36" s="7"/>
      <c r="U36" s="8">
        <v>0.2</v>
      </c>
      <c r="V36" s="7" t="str">
        <f t="shared" si="1"/>
        <v/>
      </c>
      <c r="W36" s="6" t="s">
        <v>74</v>
      </c>
      <c r="X36" s="6">
        <v>36</v>
      </c>
      <c r="Y36" s="9">
        <v>30000</v>
      </c>
      <c r="Z36" s="10" t="s">
        <v>407</v>
      </c>
      <c r="AA36" s="10" t="s">
        <v>408</v>
      </c>
      <c r="AB36" s="10" t="s">
        <v>409</v>
      </c>
      <c r="AC36" s="6" t="e">
        <f ca="1">_xludf.IMAGE(AD36,"Fiat Ducato Van",0)</f>
        <v>#NAME?</v>
      </c>
      <c r="AD36" s="6" t="s">
        <v>410</v>
      </c>
      <c r="AE36" s="6" t="s">
        <v>411</v>
      </c>
      <c r="AF36" s="10" t="s">
        <v>80</v>
      </c>
      <c r="AG36" s="10" t="s">
        <v>215</v>
      </c>
      <c r="AH36" s="10" t="s">
        <v>412</v>
      </c>
    </row>
  </sheetData>
  <mergeCells count="2">
    <mergeCell ref="A1:AH2"/>
    <mergeCell ref="A3:AH3"/>
  </mergeCells>
  <conditionalFormatting sqref="P5:P36">
    <cfRule type="dataBar" priority="3">
      <dataBar>
        <cfvo type="min"/>
        <cfvo type="max"/>
        <color rgb="FF008C95"/>
      </dataBar>
    </cfRule>
    <cfRule type="dataBar" priority="5">
      <dataBar>
        <cfvo type="min"/>
        <cfvo type="max"/>
        <color rgb="FF008C95"/>
      </dataBar>
      <extLst>
        <ext xmlns:x14="http://schemas.microsoft.com/office/spreadsheetml/2009/9/main" uri="{B025F937-C7B1-47D3-B67F-A62EFF666E3E}">
          <x14:id>{CD1B4020-5E2A-75D6-5754-5BC19B855ABB}</x14:id>
        </ext>
      </extLst>
    </cfRule>
  </conditionalFormatting>
  <conditionalFormatting sqref="S5:S36">
    <cfRule type="dataBar" priority="4">
      <dataBar>
        <cfvo type="min"/>
        <cfvo type="max"/>
        <color rgb="FFD9A441"/>
      </dataBar>
    </cfRule>
    <cfRule type="dataBar" priority="6">
      <dataBar>
        <cfvo type="min"/>
        <cfvo type="max"/>
        <color rgb="FFD9A441"/>
      </dataBar>
      <extLst>
        <ext xmlns:x14="http://schemas.microsoft.com/office/spreadsheetml/2009/9/main" uri="{B025F937-C7B1-47D3-B67F-A62EFF666E3E}">
          <x14:id>{31B7F584-D64A-16CA-3054-0EA96FCB7032}</x14:id>
        </ext>
      </extLst>
    </cfRule>
  </conditionalFormatting>
  <dataValidations count="2">
    <dataValidation type="list" sqref="B5:B36" xr:uid="{00000000-0002-0000-0100-000000000000}">
      <formula1>"Taslak,Hazır,Yayında,Pasif"</formula1>
    </dataValidation>
    <dataValidation type="list" sqref="C5:C36" xr:uid="{00000000-0002-0000-0100-000001000000}">
      <formula1>"A,B,C"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1B4020-5E2A-75D6-5754-5BC19B855ABB}">
            <x14:dataBar>
              <x14:cfvo type="min"/>
              <x14:cfvo type="max"/>
              <x14:negativeFillColor auto="1"/>
              <x14:axisColor auto="1"/>
            </x14:dataBar>
          </x14:cfRule>
          <xm:sqref>P5:P36</xm:sqref>
        </x14:conditionalFormatting>
        <x14:conditionalFormatting xmlns:xm="http://schemas.microsoft.com/office/excel/2006/main">
          <x14:cfRule type="dataBar" id="{31B7F584-D64A-16CA-3054-0EA96FCB7032}">
            <x14:dataBar>
              <x14:cfvo type="min"/>
              <x14:cfvo type="max"/>
              <x14:negativeFillColor auto="1"/>
              <x14:axisColor auto="1"/>
            </x14:dataBar>
          </x14:cfRule>
          <xm:sqref>S5:S36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6"/>
  <sheetViews>
    <sheetView workbookViewId="0">
      <selection sqref="A1:AC2"/>
    </sheetView>
  </sheetViews>
  <sheetFormatPr defaultRowHeight="14.25"/>
  <cols>
    <col min="1" max="3" width="14" customWidth="1"/>
    <col min="4" max="4" width="30" customWidth="1"/>
    <col min="5" max="26" width="15" customWidth="1"/>
    <col min="27" max="27" width="42" customWidth="1"/>
    <col min="28" max="28" width="52" customWidth="1"/>
    <col min="29" max="29" width="22" customWidth="1"/>
  </cols>
  <sheetData>
    <row r="1" spans="1:29">
      <c r="A1" s="13" t="s">
        <v>413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5">
      <c r="A3" s="20" t="s">
        <v>414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30">
      <c r="A4" s="5" t="s">
        <v>33</v>
      </c>
      <c r="B4" s="5" t="s">
        <v>36</v>
      </c>
      <c r="C4" s="5" t="s">
        <v>37</v>
      </c>
      <c r="D4" s="5" t="s">
        <v>38</v>
      </c>
      <c r="E4" s="5" t="s">
        <v>415</v>
      </c>
      <c r="F4" s="5" t="s">
        <v>43</v>
      </c>
      <c r="G4" s="5" t="s">
        <v>416</v>
      </c>
      <c r="H4" s="5" t="s">
        <v>41</v>
      </c>
      <c r="I4" s="5" t="s">
        <v>42</v>
      </c>
      <c r="J4" s="5" t="s">
        <v>417</v>
      </c>
      <c r="K4" s="5" t="s">
        <v>418</v>
      </c>
      <c r="L4" s="5" t="s">
        <v>419</v>
      </c>
      <c r="M4" s="5" t="s">
        <v>420</v>
      </c>
      <c r="N4" s="5" t="s">
        <v>421</v>
      </c>
      <c r="O4" s="5" t="s">
        <v>422</v>
      </c>
      <c r="P4" s="5" t="s">
        <v>423</v>
      </c>
      <c r="Q4" s="5" t="s">
        <v>424</v>
      </c>
      <c r="R4" s="5" t="s">
        <v>425</v>
      </c>
      <c r="S4" s="5" t="s">
        <v>426</v>
      </c>
      <c r="T4" s="5" t="s">
        <v>427</v>
      </c>
      <c r="U4" s="5" t="s">
        <v>428</v>
      </c>
      <c r="V4" s="5" t="s">
        <v>44</v>
      </c>
      <c r="W4" s="5" t="s">
        <v>429</v>
      </c>
      <c r="X4" s="5" t="s">
        <v>430</v>
      </c>
      <c r="Y4" s="5" t="s">
        <v>431</v>
      </c>
      <c r="Z4" s="5" t="s">
        <v>432</v>
      </c>
      <c r="AA4" s="5" t="s">
        <v>62</v>
      </c>
      <c r="AB4" s="5" t="s">
        <v>433</v>
      </c>
      <c r="AC4" s="5" t="s">
        <v>64</v>
      </c>
    </row>
    <row r="5" spans="1:29" ht="30">
      <c r="A5" s="6" t="s">
        <v>66</v>
      </c>
      <c r="B5" s="6" t="s">
        <v>68</v>
      </c>
      <c r="C5" s="6" t="s">
        <v>69</v>
      </c>
      <c r="D5" s="10" t="s">
        <v>70</v>
      </c>
      <c r="E5" s="6">
        <v>999</v>
      </c>
      <c r="F5" s="6">
        <v>90</v>
      </c>
      <c r="G5" s="6">
        <v>142</v>
      </c>
      <c r="H5" s="6" t="s">
        <v>6</v>
      </c>
      <c r="I5" s="6" t="s">
        <v>73</v>
      </c>
      <c r="J5" s="6" t="s">
        <v>434</v>
      </c>
      <c r="K5" s="11"/>
      <c r="L5" s="11"/>
      <c r="M5" s="11">
        <v>5.0999999999999996</v>
      </c>
      <c r="N5" s="11"/>
      <c r="O5" s="6"/>
      <c r="P5" s="6">
        <v>4053</v>
      </c>
      <c r="Q5" s="6">
        <v>1798</v>
      </c>
      <c r="R5" s="6">
        <v>1440</v>
      </c>
      <c r="S5" s="6"/>
      <c r="T5" s="6">
        <v>391</v>
      </c>
      <c r="U5" s="11"/>
      <c r="V5" s="6">
        <v>5</v>
      </c>
      <c r="W5" s="6">
        <v>5</v>
      </c>
      <c r="X5" s="6">
        <v>12.4</v>
      </c>
      <c r="Y5" s="6"/>
      <c r="Z5" s="6">
        <v>42</v>
      </c>
      <c r="AA5" s="10" t="s">
        <v>79</v>
      </c>
      <c r="AB5" s="10" t="s">
        <v>82</v>
      </c>
      <c r="AC5" s="10" t="s">
        <v>81</v>
      </c>
    </row>
    <row r="6" spans="1:29" ht="45">
      <c r="A6" s="6" t="s">
        <v>83</v>
      </c>
      <c r="B6" s="6" t="s">
        <v>84</v>
      </c>
      <c r="C6" s="6" t="s">
        <v>85</v>
      </c>
      <c r="D6" s="10" t="s">
        <v>86</v>
      </c>
      <c r="E6" s="6">
        <v>998</v>
      </c>
      <c r="F6" s="6">
        <v>90</v>
      </c>
      <c r="G6" s="6">
        <v>172</v>
      </c>
      <c r="H6" s="6" t="s">
        <v>6</v>
      </c>
      <c r="I6" s="6" t="s">
        <v>87</v>
      </c>
      <c r="J6" s="6" t="s">
        <v>434</v>
      </c>
      <c r="K6" s="11"/>
      <c r="L6" s="11"/>
      <c r="M6" s="11">
        <v>5.7</v>
      </c>
      <c r="N6" s="11"/>
      <c r="O6" s="6"/>
      <c r="P6" s="6">
        <v>4065</v>
      </c>
      <c r="Q6" s="6">
        <v>1775</v>
      </c>
      <c r="R6" s="6">
        <v>1450</v>
      </c>
      <c r="S6" s="6">
        <v>2580</v>
      </c>
      <c r="T6" s="6">
        <v>352</v>
      </c>
      <c r="U6" s="11"/>
      <c r="V6" s="6">
        <v>5</v>
      </c>
      <c r="W6" s="6">
        <v>5</v>
      </c>
      <c r="X6" s="6">
        <v>12.8</v>
      </c>
      <c r="Y6" s="6">
        <v>180</v>
      </c>
      <c r="Z6" s="6">
        <v>40</v>
      </c>
      <c r="AA6" s="10" t="s">
        <v>92</v>
      </c>
      <c r="AB6" s="10" t="s">
        <v>95</v>
      </c>
      <c r="AC6" s="10" t="s">
        <v>94</v>
      </c>
    </row>
    <row r="7" spans="1:29" ht="45">
      <c r="A7" s="6" t="s">
        <v>96</v>
      </c>
      <c r="B7" s="6" t="s">
        <v>98</v>
      </c>
      <c r="C7" s="6" t="s">
        <v>99</v>
      </c>
      <c r="D7" s="10" t="s">
        <v>100</v>
      </c>
      <c r="E7" s="6">
        <v>1199</v>
      </c>
      <c r="F7" s="6">
        <v>100</v>
      </c>
      <c r="G7" s="6">
        <v>205</v>
      </c>
      <c r="H7" s="6" t="s">
        <v>101</v>
      </c>
      <c r="I7" s="6" t="s">
        <v>102</v>
      </c>
      <c r="J7" s="6" t="s">
        <v>434</v>
      </c>
      <c r="K7" s="11"/>
      <c r="L7" s="11"/>
      <c r="M7" s="11">
        <v>4.5</v>
      </c>
      <c r="N7" s="11"/>
      <c r="O7" s="6"/>
      <c r="P7" s="6">
        <v>4060</v>
      </c>
      <c r="Q7" s="6">
        <v>1765</v>
      </c>
      <c r="R7" s="6">
        <v>1433</v>
      </c>
      <c r="S7" s="6">
        <v>2538</v>
      </c>
      <c r="T7" s="6">
        <v>309</v>
      </c>
      <c r="U7" s="11"/>
      <c r="V7" s="6">
        <v>5</v>
      </c>
      <c r="W7" s="6">
        <v>5</v>
      </c>
      <c r="X7" s="6">
        <v>10.8</v>
      </c>
      <c r="Y7" s="6"/>
      <c r="Z7" s="6">
        <v>44</v>
      </c>
      <c r="AA7" s="10" t="s">
        <v>107</v>
      </c>
      <c r="AB7" s="10" t="s">
        <v>109</v>
      </c>
      <c r="AC7" s="10" t="s">
        <v>94</v>
      </c>
    </row>
    <row r="8" spans="1:29" ht="30">
      <c r="A8" s="6" t="s">
        <v>110</v>
      </c>
      <c r="B8" s="6" t="s">
        <v>111</v>
      </c>
      <c r="C8" s="6" t="s">
        <v>112</v>
      </c>
      <c r="D8" s="10" t="s">
        <v>113</v>
      </c>
      <c r="E8" s="6">
        <v>1598</v>
      </c>
      <c r="F8" s="6">
        <v>130</v>
      </c>
      <c r="G8" s="6">
        <v>320</v>
      </c>
      <c r="H8" s="6" t="s">
        <v>12</v>
      </c>
      <c r="I8" s="6" t="s">
        <v>115</v>
      </c>
      <c r="J8" s="6" t="s">
        <v>434</v>
      </c>
      <c r="K8" s="11"/>
      <c r="L8" s="11"/>
      <c r="M8" s="11">
        <v>4.5</v>
      </c>
      <c r="N8" s="11"/>
      <c r="O8" s="6"/>
      <c r="P8" s="6">
        <v>4532</v>
      </c>
      <c r="Q8" s="6">
        <v>1792</v>
      </c>
      <c r="R8" s="6">
        <v>1497</v>
      </c>
      <c r="S8" s="6">
        <v>2636</v>
      </c>
      <c r="T8" s="6">
        <v>520</v>
      </c>
      <c r="U8" s="11"/>
      <c r="V8" s="6">
        <v>5</v>
      </c>
      <c r="W8" s="6">
        <v>4</v>
      </c>
      <c r="X8" s="6">
        <v>9.8000000000000007</v>
      </c>
      <c r="Y8" s="6"/>
      <c r="Z8" s="6">
        <v>50</v>
      </c>
      <c r="AA8" s="10" t="s">
        <v>120</v>
      </c>
      <c r="AB8" s="10" t="s">
        <v>121</v>
      </c>
      <c r="AC8" s="10" t="s">
        <v>81</v>
      </c>
    </row>
    <row r="9" spans="1:29" ht="30">
      <c r="A9" s="6" t="s">
        <v>122</v>
      </c>
      <c r="B9" s="6" t="s">
        <v>123</v>
      </c>
      <c r="C9" s="6" t="s">
        <v>124</v>
      </c>
      <c r="D9" s="10" t="s">
        <v>125</v>
      </c>
      <c r="E9" s="6">
        <v>999</v>
      </c>
      <c r="F9" s="6">
        <v>115</v>
      </c>
      <c r="G9" s="6">
        <v>200</v>
      </c>
      <c r="H9" s="6" t="s">
        <v>6</v>
      </c>
      <c r="I9" s="6" t="s">
        <v>127</v>
      </c>
      <c r="J9" s="6" t="s">
        <v>434</v>
      </c>
      <c r="K9" s="11"/>
      <c r="L9" s="11"/>
      <c r="M9" s="11">
        <v>5.6</v>
      </c>
      <c r="N9" s="11"/>
      <c r="O9" s="6"/>
      <c r="P9" s="6">
        <v>4241</v>
      </c>
      <c r="Q9" s="6">
        <v>1793</v>
      </c>
      <c r="R9" s="6">
        <v>1553</v>
      </c>
      <c r="S9" s="6">
        <v>2651</v>
      </c>
      <c r="T9" s="6">
        <v>400</v>
      </c>
      <c r="U9" s="11"/>
      <c r="V9" s="6">
        <v>5</v>
      </c>
      <c r="W9" s="6">
        <v>5</v>
      </c>
      <c r="X9" s="6">
        <v>10</v>
      </c>
      <c r="Y9" s="6"/>
      <c r="Z9" s="6">
        <v>50</v>
      </c>
      <c r="AA9" s="10" t="s">
        <v>132</v>
      </c>
      <c r="AB9" s="10" t="s">
        <v>134</v>
      </c>
      <c r="AC9" s="10" t="s">
        <v>94</v>
      </c>
    </row>
    <row r="10" spans="1:29" ht="45">
      <c r="A10" s="6" t="s">
        <v>135</v>
      </c>
      <c r="B10" s="6" t="s">
        <v>136</v>
      </c>
      <c r="C10" s="6" t="s">
        <v>137</v>
      </c>
      <c r="D10" s="10" t="s">
        <v>138</v>
      </c>
      <c r="E10" s="6">
        <v>1490</v>
      </c>
      <c r="F10" s="6">
        <v>125</v>
      </c>
      <c r="G10" s="6">
        <v>153</v>
      </c>
      <c r="H10" s="6" t="s">
        <v>6</v>
      </c>
      <c r="I10" s="6" t="s">
        <v>139</v>
      </c>
      <c r="J10" s="6" t="s">
        <v>434</v>
      </c>
      <c r="K10" s="11"/>
      <c r="L10" s="11"/>
      <c r="M10" s="11">
        <v>6.2</v>
      </c>
      <c r="N10" s="11"/>
      <c r="O10" s="6">
        <v>140</v>
      </c>
      <c r="P10" s="6">
        <v>4630</v>
      </c>
      <c r="Q10" s="6">
        <v>1780</v>
      </c>
      <c r="R10" s="6">
        <v>1435</v>
      </c>
      <c r="S10" s="6">
        <v>2700</v>
      </c>
      <c r="T10" s="6">
        <v>471</v>
      </c>
      <c r="U10" s="11"/>
      <c r="V10" s="6">
        <v>5</v>
      </c>
      <c r="W10" s="6">
        <v>4</v>
      </c>
      <c r="X10" s="6">
        <v>11.5</v>
      </c>
      <c r="Y10" s="6"/>
      <c r="Z10" s="6">
        <v>50</v>
      </c>
      <c r="AA10" s="10" t="s">
        <v>144</v>
      </c>
      <c r="AB10" s="10" t="s">
        <v>145</v>
      </c>
      <c r="AC10" s="10" t="s">
        <v>81</v>
      </c>
    </row>
    <row r="11" spans="1:29" ht="45">
      <c r="A11" s="6" t="s">
        <v>146</v>
      </c>
      <c r="B11" s="6" t="s">
        <v>136</v>
      </c>
      <c r="C11" s="6" t="s">
        <v>137</v>
      </c>
      <c r="D11" s="10" t="s">
        <v>147</v>
      </c>
      <c r="E11" s="6">
        <v>1798</v>
      </c>
      <c r="F11" s="6">
        <v>140</v>
      </c>
      <c r="G11" s="6">
        <v>185</v>
      </c>
      <c r="H11" s="6" t="s">
        <v>148</v>
      </c>
      <c r="I11" s="6" t="s">
        <v>149</v>
      </c>
      <c r="J11" s="6" t="s">
        <v>434</v>
      </c>
      <c r="K11" s="11"/>
      <c r="L11" s="11"/>
      <c r="M11" s="11">
        <v>4.5999999999999996</v>
      </c>
      <c r="N11" s="11"/>
      <c r="O11" s="6">
        <v>104</v>
      </c>
      <c r="P11" s="6">
        <v>4630</v>
      </c>
      <c r="Q11" s="6">
        <v>1780</v>
      </c>
      <c r="R11" s="6">
        <v>1435</v>
      </c>
      <c r="S11" s="6">
        <v>2700</v>
      </c>
      <c r="T11" s="6">
        <v>471</v>
      </c>
      <c r="U11" s="11"/>
      <c r="V11" s="6">
        <v>5</v>
      </c>
      <c r="W11" s="6">
        <v>4</v>
      </c>
      <c r="X11" s="6">
        <v>9.3000000000000007</v>
      </c>
      <c r="Y11" s="6"/>
      <c r="Z11" s="6">
        <v>43</v>
      </c>
      <c r="AA11" s="10" t="s">
        <v>144</v>
      </c>
      <c r="AB11" s="10" t="s">
        <v>154</v>
      </c>
      <c r="AC11" s="10" t="s">
        <v>81</v>
      </c>
    </row>
    <row r="12" spans="1:29" ht="30">
      <c r="A12" s="6" t="s">
        <v>155</v>
      </c>
      <c r="B12" s="6" t="s">
        <v>68</v>
      </c>
      <c r="C12" s="6" t="s">
        <v>156</v>
      </c>
      <c r="D12" s="10" t="s">
        <v>157</v>
      </c>
      <c r="E12" s="6">
        <v>1333</v>
      </c>
      <c r="F12" s="6">
        <v>140</v>
      </c>
      <c r="G12" s="6">
        <v>240</v>
      </c>
      <c r="H12" s="6" t="s">
        <v>6</v>
      </c>
      <c r="I12" s="6" t="s">
        <v>158</v>
      </c>
      <c r="J12" s="6" t="s">
        <v>434</v>
      </c>
      <c r="K12" s="11"/>
      <c r="L12" s="11"/>
      <c r="M12" s="11">
        <v>6.1</v>
      </c>
      <c r="N12" s="11"/>
      <c r="O12" s="6"/>
      <c r="P12" s="6">
        <v>4632</v>
      </c>
      <c r="Q12" s="6">
        <v>1814</v>
      </c>
      <c r="R12" s="6">
        <v>1443</v>
      </c>
      <c r="S12" s="6">
        <v>2711</v>
      </c>
      <c r="T12" s="6">
        <v>503</v>
      </c>
      <c r="U12" s="11"/>
      <c r="V12" s="6">
        <v>5</v>
      </c>
      <c r="W12" s="6">
        <v>4</v>
      </c>
      <c r="X12" s="6">
        <v>9.8000000000000007</v>
      </c>
      <c r="Y12" s="6">
        <v>205</v>
      </c>
      <c r="Z12" s="6">
        <v>50</v>
      </c>
      <c r="AA12" s="10" t="s">
        <v>163</v>
      </c>
      <c r="AB12" s="10" t="s">
        <v>164</v>
      </c>
      <c r="AC12" s="10" t="s">
        <v>94</v>
      </c>
    </row>
    <row r="13" spans="1:29" ht="30">
      <c r="A13" s="6" t="s">
        <v>165</v>
      </c>
      <c r="B13" s="6" t="s">
        <v>123</v>
      </c>
      <c r="C13" s="6" t="s">
        <v>166</v>
      </c>
      <c r="D13" s="10" t="s">
        <v>167</v>
      </c>
      <c r="E13" s="6">
        <v>1498</v>
      </c>
      <c r="F13" s="6">
        <v>150</v>
      </c>
      <c r="G13" s="6">
        <v>250</v>
      </c>
      <c r="H13" s="6" t="s">
        <v>101</v>
      </c>
      <c r="I13" s="6" t="s">
        <v>127</v>
      </c>
      <c r="J13" s="6" t="s">
        <v>434</v>
      </c>
      <c r="K13" s="11"/>
      <c r="L13" s="11"/>
      <c r="M13" s="11">
        <v>5.3</v>
      </c>
      <c r="N13" s="11"/>
      <c r="O13" s="6"/>
      <c r="P13" s="6">
        <v>4689</v>
      </c>
      <c r="Q13" s="6">
        <v>1829</v>
      </c>
      <c r="R13" s="6">
        <v>1486</v>
      </c>
      <c r="S13" s="6">
        <v>2686</v>
      </c>
      <c r="T13" s="6">
        <v>600</v>
      </c>
      <c r="U13" s="11"/>
      <c r="V13" s="6">
        <v>5</v>
      </c>
      <c r="W13" s="6">
        <v>5</v>
      </c>
      <c r="X13" s="6">
        <v>8.5</v>
      </c>
      <c r="Y13" s="6"/>
      <c r="Z13" s="6">
        <v>45</v>
      </c>
      <c r="AA13" s="10" t="s">
        <v>173</v>
      </c>
      <c r="AB13" s="10" t="s">
        <v>174</v>
      </c>
      <c r="AC13" s="10" t="s">
        <v>81</v>
      </c>
    </row>
    <row r="14" spans="1:29" ht="30">
      <c r="A14" s="6" t="s">
        <v>175</v>
      </c>
      <c r="B14" s="6" t="s">
        <v>123</v>
      </c>
      <c r="C14" s="6" t="s">
        <v>176</v>
      </c>
      <c r="D14" s="10" t="s">
        <v>177</v>
      </c>
      <c r="E14" s="6">
        <v>1498</v>
      </c>
      <c r="F14" s="6">
        <v>150</v>
      </c>
      <c r="G14" s="6">
        <v>250</v>
      </c>
      <c r="H14" s="6" t="s">
        <v>101</v>
      </c>
      <c r="I14" s="6" t="s">
        <v>127</v>
      </c>
      <c r="J14" s="6" t="s">
        <v>434</v>
      </c>
      <c r="K14" s="11"/>
      <c r="L14" s="11"/>
      <c r="M14" s="11">
        <v>5.4</v>
      </c>
      <c r="N14" s="11"/>
      <c r="O14" s="6"/>
      <c r="P14" s="6">
        <v>4869</v>
      </c>
      <c r="Q14" s="6">
        <v>1864</v>
      </c>
      <c r="R14" s="6">
        <v>1469</v>
      </c>
      <c r="S14" s="6">
        <v>2841</v>
      </c>
      <c r="T14" s="6">
        <v>625</v>
      </c>
      <c r="U14" s="11"/>
      <c r="V14" s="6">
        <v>5</v>
      </c>
      <c r="W14" s="6">
        <v>5</v>
      </c>
      <c r="X14" s="6">
        <v>9.1999999999999993</v>
      </c>
      <c r="Y14" s="6"/>
      <c r="Z14" s="6">
        <v>66</v>
      </c>
      <c r="AA14" s="10" t="s">
        <v>183</v>
      </c>
      <c r="AB14" s="10" t="s">
        <v>184</v>
      </c>
      <c r="AC14" s="10" t="s">
        <v>81</v>
      </c>
    </row>
    <row r="15" spans="1:29" ht="30">
      <c r="A15" s="6" t="s">
        <v>185</v>
      </c>
      <c r="B15" s="6" t="s">
        <v>84</v>
      </c>
      <c r="C15" s="6" t="s">
        <v>186</v>
      </c>
      <c r="D15" s="10" t="s">
        <v>187</v>
      </c>
      <c r="E15" s="6">
        <v>998</v>
      </c>
      <c r="F15" s="6">
        <v>90</v>
      </c>
      <c r="G15" s="6">
        <v>172</v>
      </c>
      <c r="H15" s="6" t="s">
        <v>6</v>
      </c>
      <c r="I15" s="6" t="s">
        <v>87</v>
      </c>
      <c r="J15" s="6" t="s">
        <v>434</v>
      </c>
      <c r="K15" s="11"/>
      <c r="L15" s="11"/>
      <c r="M15" s="11">
        <v>5.5</v>
      </c>
      <c r="N15" s="11"/>
      <c r="O15" s="6"/>
      <c r="P15" s="6">
        <v>4180</v>
      </c>
      <c r="Q15" s="6">
        <v>1775</v>
      </c>
      <c r="R15" s="6">
        <v>1500</v>
      </c>
      <c r="S15" s="6">
        <v>2580</v>
      </c>
      <c r="T15" s="6">
        <v>411</v>
      </c>
      <c r="U15" s="11"/>
      <c r="V15" s="6">
        <v>5</v>
      </c>
      <c r="W15" s="6">
        <v>5</v>
      </c>
      <c r="X15" s="6"/>
      <c r="Y15" s="6"/>
      <c r="Z15" s="6">
        <v>40</v>
      </c>
      <c r="AA15" s="10" t="s">
        <v>192</v>
      </c>
      <c r="AB15" s="10" t="s">
        <v>193</v>
      </c>
      <c r="AC15" s="10" t="s">
        <v>94</v>
      </c>
    </row>
    <row r="16" spans="1:29" ht="30">
      <c r="A16" s="6" t="s">
        <v>194</v>
      </c>
      <c r="B16" s="6" t="s">
        <v>195</v>
      </c>
      <c r="C16" s="6" t="s">
        <v>196</v>
      </c>
      <c r="D16" s="10" t="s">
        <v>197</v>
      </c>
      <c r="E16" s="6">
        <v>999</v>
      </c>
      <c r="F16" s="6">
        <v>116</v>
      </c>
      <c r="G16" s="6">
        <v>200</v>
      </c>
      <c r="H16" s="6" t="s">
        <v>6</v>
      </c>
      <c r="I16" s="6" t="s">
        <v>199</v>
      </c>
      <c r="J16" s="6" t="s">
        <v>434</v>
      </c>
      <c r="K16" s="11"/>
      <c r="L16" s="11"/>
      <c r="M16" s="11">
        <v>5.7</v>
      </c>
      <c r="N16" s="11"/>
      <c r="O16" s="6"/>
      <c r="P16" s="6">
        <v>4266</v>
      </c>
      <c r="Q16" s="6">
        <v>1757</v>
      </c>
      <c r="R16" s="6">
        <v>1518</v>
      </c>
      <c r="S16" s="6">
        <v>2554</v>
      </c>
      <c r="T16" s="6">
        <v>438</v>
      </c>
      <c r="U16" s="11"/>
      <c r="V16" s="6">
        <v>5</v>
      </c>
      <c r="W16" s="6">
        <v>5</v>
      </c>
      <c r="X16" s="6">
        <v>10.199999999999999</v>
      </c>
      <c r="Y16" s="6"/>
      <c r="Z16" s="6">
        <v>40</v>
      </c>
      <c r="AA16" s="10" t="s">
        <v>204</v>
      </c>
      <c r="AB16" s="10" t="s">
        <v>205</v>
      </c>
      <c r="AC16" s="10" t="s">
        <v>81</v>
      </c>
    </row>
    <row r="17" spans="1:29" ht="60">
      <c r="A17" s="6" t="s">
        <v>206</v>
      </c>
      <c r="B17" s="6" t="s">
        <v>98</v>
      </c>
      <c r="C17" s="6" t="s">
        <v>207</v>
      </c>
      <c r="D17" s="10" t="s">
        <v>208</v>
      </c>
      <c r="E17" s="6">
        <v>1199</v>
      </c>
      <c r="F17" s="6">
        <v>145</v>
      </c>
      <c r="G17" s="6">
        <v>230</v>
      </c>
      <c r="H17" s="6" t="s">
        <v>101</v>
      </c>
      <c r="I17" s="6" t="s">
        <v>102</v>
      </c>
      <c r="J17" s="6" t="s">
        <v>434</v>
      </c>
      <c r="K17" s="11"/>
      <c r="L17" s="11"/>
      <c r="M17" s="11">
        <v>5.5</v>
      </c>
      <c r="N17" s="11"/>
      <c r="O17" s="6"/>
      <c r="P17" s="6">
        <v>4385</v>
      </c>
      <c r="Q17" s="6">
        <v>1795</v>
      </c>
      <c r="R17" s="6">
        <v>1635</v>
      </c>
      <c r="S17" s="6">
        <v>2670</v>
      </c>
      <c r="T17" s="6">
        <v>460</v>
      </c>
      <c r="U17" s="11"/>
      <c r="V17" s="6">
        <v>5</v>
      </c>
      <c r="W17" s="6">
        <v>5</v>
      </c>
      <c r="X17" s="6">
        <v>9</v>
      </c>
      <c r="Y17" s="6"/>
      <c r="Z17" s="6">
        <v>44</v>
      </c>
      <c r="AA17" s="10" t="s">
        <v>214</v>
      </c>
      <c r="AB17" s="10" t="s">
        <v>216</v>
      </c>
      <c r="AC17" s="10" t="s">
        <v>215</v>
      </c>
    </row>
    <row r="18" spans="1:29" ht="45">
      <c r="A18" s="6" t="s">
        <v>217</v>
      </c>
      <c r="B18" s="6" t="s">
        <v>218</v>
      </c>
      <c r="C18" s="6" t="s">
        <v>219</v>
      </c>
      <c r="D18" s="10" t="s">
        <v>220</v>
      </c>
      <c r="E18" s="6">
        <v>1199</v>
      </c>
      <c r="F18" s="6">
        <v>145</v>
      </c>
      <c r="G18" s="6">
        <v>230</v>
      </c>
      <c r="H18" s="6" t="s">
        <v>221</v>
      </c>
      <c r="I18" s="6" t="s">
        <v>222</v>
      </c>
      <c r="J18" s="6" t="s">
        <v>434</v>
      </c>
      <c r="K18" s="11"/>
      <c r="L18" s="11"/>
      <c r="M18" s="11">
        <v>5</v>
      </c>
      <c r="N18" s="11"/>
      <c r="O18" s="6"/>
      <c r="P18" s="6">
        <v>4300</v>
      </c>
      <c r="Q18" s="6">
        <v>1815</v>
      </c>
      <c r="R18" s="6">
        <v>1550</v>
      </c>
      <c r="S18" s="6">
        <v>2605</v>
      </c>
      <c r="T18" s="6">
        <v>434</v>
      </c>
      <c r="U18" s="11"/>
      <c r="V18" s="6">
        <v>5</v>
      </c>
      <c r="W18" s="6">
        <v>5</v>
      </c>
      <c r="X18" s="6"/>
      <c r="Y18" s="6"/>
      <c r="Z18" s="6">
        <v>44</v>
      </c>
      <c r="AA18" s="10" t="s">
        <v>227</v>
      </c>
      <c r="AB18" s="10" t="s">
        <v>228</v>
      </c>
      <c r="AC18" s="10" t="s">
        <v>94</v>
      </c>
    </row>
    <row r="19" spans="1:29" ht="30">
      <c r="A19" s="6" t="s">
        <v>229</v>
      </c>
      <c r="B19" s="6" t="s">
        <v>68</v>
      </c>
      <c r="C19" s="6" t="s">
        <v>230</v>
      </c>
      <c r="D19" s="10" t="s">
        <v>231</v>
      </c>
      <c r="E19" s="6">
        <v>1332</v>
      </c>
      <c r="F19" s="6">
        <v>145</v>
      </c>
      <c r="G19" s="6">
        <v>245</v>
      </c>
      <c r="H19" s="6" t="s">
        <v>6</v>
      </c>
      <c r="I19" s="6" t="s">
        <v>158</v>
      </c>
      <c r="J19" s="6" t="s">
        <v>434</v>
      </c>
      <c r="K19" s="11"/>
      <c r="L19" s="11"/>
      <c r="M19" s="11">
        <v>6.3</v>
      </c>
      <c r="N19" s="11"/>
      <c r="O19" s="6">
        <v>141</v>
      </c>
      <c r="P19" s="6">
        <v>4343</v>
      </c>
      <c r="Q19" s="6">
        <v>1813</v>
      </c>
      <c r="R19" s="6">
        <v>1656</v>
      </c>
      <c r="S19" s="6">
        <v>2657</v>
      </c>
      <c r="T19" s="6">
        <v>472</v>
      </c>
      <c r="U19" s="11"/>
      <c r="V19" s="6">
        <v>5</v>
      </c>
      <c r="W19" s="6">
        <v>5</v>
      </c>
      <c r="X19" s="6"/>
      <c r="Y19" s="6"/>
      <c r="Z19" s="6">
        <v>50</v>
      </c>
      <c r="AA19" s="10" t="s">
        <v>236</v>
      </c>
      <c r="AB19" s="10" t="s">
        <v>237</v>
      </c>
      <c r="AC19" s="10" t="s">
        <v>94</v>
      </c>
    </row>
    <row r="20" spans="1:29" ht="45">
      <c r="A20" s="6" t="s">
        <v>238</v>
      </c>
      <c r="B20" s="6" t="s">
        <v>239</v>
      </c>
      <c r="C20" s="6" t="s">
        <v>240</v>
      </c>
      <c r="D20" s="10" t="s">
        <v>241</v>
      </c>
      <c r="E20" s="6">
        <v>1332</v>
      </c>
      <c r="F20" s="6">
        <v>158</v>
      </c>
      <c r="G20" s="6">
        <v>270</v>
      </c>
      <c r="H20" s="6" t="s">
        <v>101</v>
      </c>
      <c r="I20" s="6" t="s">
        <v>73</v>
      </c>
      <c r="J20" s="6" t="s">
        <v>434</v>
      </c>
      <c r="K20" s="11"/>
      <c r="L20" s="11"/>
      <c r="M20" s="11">
        <v>6.4</v>
      </c>
      <c r="N20" s="11"/>
      <c r="O20" s="6"/>
      <c r="P20" s="6">
        <v>4425</v>
      </c>
      <c r="Q20" s="6">
        <v>1835</v>
      </c>
      <c r="R20" s="6">
        <v>1625</v>
      </c>
      <c r="S20" s="6">
        <v>2665</v>
      </c>
      <c r="T20" s="6">
        <v>504</v>
      </c>
      <c r="U20" s="11"/>
      <c r="V20" s="6">
        <v>5</v>
      </c>
      <c r="W20" s="6">
        <v>5</v>
      </c>
      <c r="X20" s="6">
        <v>9.1999999999999993</v>
      </c>
      <c r="Y20" s="6">
        <v>199</v>
      </c>
      <c r="Z20" s="6">
        <v>55</v>
      </c>
      <c r="AA20" s="10" t="s">
        <v>246</v>
      </c>
      <c r="AB20" s="10" t="s">
        <v>247</v>
      </c>
      <c r="AC20" s="10" t="s">
        <v>94</v>
      </c>
    </row>
    <row r="21" spans="1:29" ht="30">
      <c r="A21" s="6" t="s">
        <v>248</v>
      </c>
      <c r="B21" s="6" t="s">
        <v>218</v>
      </c>
      <c r="C21" s="6" t="s">
        <v>249</v>
      </c>
      <c r="D21" s="10" t="s">
        <v>250</v>
      </c>
      <c r="E21" s="6">
        <v>1199</v>
      </c>
      <c r="F21" s="6">
        <v>145</v>
      </c>
      <c r="G21" s="6">
        <v>230</v>
      </c>
      <c r="H21" s="6" t="s">
        <v>221</v>
      </c>
      <c r="I21" s="6" t="s">
        <v>222</v>
      </c>
      <c r="J21" s="6" t="s">
        <v>434</v>
      </c>
      <c r="K21" s="11"/>
      <c r="L21" s="11"/>
      <c r="M21" s="11">
        <v>5.5</v>
      </c>
      <c r="N21" s="11"/>
      <c r="O21" s="6"/>
      <c r="P21" s="6">
        <v>4542</v>
      </c>
      <c r="Q21" s="6">
        <v>1895</v>
      </c>
      <c r="R21" s="6">
        <v>1641</v>
      </c>
      <c r="S21" s="6">
        <v>2739</v>
      </c>
      <c r="T21" s="6">
        <v>520</v>
      </c>
      <c r="U21" s="11"/>
      <c r="V21" s="6">
        <v>5</v>
      </c>
      <c r="W21" s="6">
        <v>5</v>
      </c>
      <c r="X21" s="6"/>
      <c r="Y21" s="6"/>
      <c r="Z21" s="6">
        <v>55</v>
      </c>
      <c r="AA21" s="10" t="s">
        <v>255</v>
      </c>
      <c r="AB21" s="10" t="s">
        <v>256</v>
      </c>
      <c r="AC21" s="10" t="s">
        <v>94</v>
      </c>
    </row>
    <row r="22" spans="1:29" ht="45">
      <c r="A22" s="6" t="s">
        <v>257</v>
      </c>
      <c r="B22" s="6" t="s">
        <v>195</v>
      </c>
      <c r="C22" s="6" t="s">
        <v>258</v>
      </c>
      <c r="D22" s="10" t="s">
        <v>259</v>
      </c>
      <c r="E22" s="6">
        <v>1498</v>
      </c>
      <c r="F22" s="6">
        <v>150</v>
      </c>
      <c r="G22" s="6">
        <v>250</v>
      </c>
      <c r="H22" s="6" t="s">
        <v>101</v>
      </c>
      <c r="I22" s="6" t="s">
        <v>127</v>
      </c>
      <c r="J22" s="6" t="s">
        <v>434</v>
      </c>
      <c r="K22" s="11"/>
      <c r="L22" s="11"/>
      <c r="M22" s="11">
        <v>5.7</v>
      </c>
      <c r="N22" s="11"/>
      <c r="O22" s="6">
        <v>130</v>
      </c>
      <c r="P22" s="6">
        <v>4373</v>
      </c>
      <c r="Q22" s="6">
        <v>1828</v>
      </c>
      <c r="R22" s="6">
        <v>1562</v>
      </c>
      <c r="S22" s="6">
        <v>2631</v>
      </c>
      <c r="T22" s="6">
        <v>475</v>
      </c>
      <c r="U22" s="11"/>
      <c r="V22" s="6">
        <v>5</v>
      </c>
      <c r="W22" s="6">
        <v>5</v>
      </c>
      <c r="X22" s="6">
        <v>8.9</v>
      </c>
      <c r="Y22" s="6">
        <v>212</v>
      </c>
      <c r="Z22" s="6"/>
      <c r="AA22" s="10" t="s">
        <v>264</v>
      </c>
      <c r="AB22" s="10" t="s">
        <v>265</v>
      </c>
      <c r="AC22" s="10" t="s">
        <v>94</v>
      </c>
    </row>
    <row r="23" spans="1:29" ht="30">
      <c r="A23" s="6" t="s">
        <v>266</v>
      </c>
      <c r="B23" s="6" t="s">
        <v>68</v>
      </c>
      <c r="C23" s="6" t="s">
        <v>267</v>
      </c>
      <c r="D23" s="10" t="s">
        <v>268</v>
      </c>
      <c r="E23" s="6">
        <v>1332</v>
      </c>
      <c r="F23" s="6">
        <v>150</v>
      </c>
      <c r="G23" s="6">
        <v>270</v>
      </c>
      <c r="H23" s="6" t="s">
        <v>101</v>
      </c>
      <c r="I23" s="6" t="s">
        <v>269</v>
      </c>
      <c r="J23" s="6" t="s">
        <v>434</v>
      </c>
      <c r="K23" s="11"/>
      <c r="L23" s="11"/>
      <c r="M23" s="11">
        <v>6.4</v>
      </c>
      <c r="N23" s="11"/>
      <c r="O23" s="6">
        <v>145</v>
      </c>
      <c r="P23" s="6">
        <v>4533</v>
      </c>
      <c r="Q23" s="6">
        <v>1843</v>
      </c>
      <c r="R23" s="6">
        <v>1645</v>
      </c>
      <c r="S23" s="6">
        <v>2667</v>
      </c>
      <c r="T23" s="6">
        <v>527</v>
      </c>
      <c r="U23" s="11"/>
      <c r="V23" s="6">
        <v>5</v>
      </c>
      <c r="W23" s="6">
        <v>5</v>
      </c>
      <c r="X23" s="6">
        <v>9.9</v>
      </c>
      <c r="Y23" s="6">
        <v>180</v>
      </c>
      <c r="Z23" s="6">
        <v>55</v>
      </c>
      <c r="AA23" s="10" t="s">
        <v>274</v>
      </c>
      <c r="AB23" s="10" t="s">
        <v>276</v>
      </c>
      <c r="AC23" s="10" t="s">
        <v>81</v>
      </c>
    </row>
    <row r="24" spans="1:29" ht="45">
      <c r="A24" s="6" t="s">
        <v>277</v>
      </c>
      <c r="B24" s="6" t="s">
        <v>278</v>
      </c>
      <c r="C24" s="6" t="s">
        <v>279</v>
      </c>
      <c r="D24" s="10" t="s">
        <v>280</v>
      </c>
      <c r="E24" s="6">
        <v>1598</v>
      </c>
      <c r="F24" s="6">
        <v>150</v>
      </c>
      <c r="G24" s="6">
        <v>250</v>
      </c>
      <c r="H24" s="6" t="s">
        <v>6</v>
      </c>
      <c r="I24" s="6" t="s">
        <v>87</v>
      </c>
      <c r="J24" s="6" t="s">
        <v>434</v>
      </c>
      <c r="K24" s="11"/>
      <c r="L24" s="11"/>
      <c r="M24" s="11">
        <v>6.9</v>
      </c>
      <c r="N24" s="11"/>
      <c r="O24" s="6"/>
      <c r="P24" s="6">
        <v>4540</v>
      </c>
      <c r="Q24" s="6">
        <v>1865</v>
      </c>
      <c r="R24" s="6">
        <v>1645</v>
      </c>
      <c r="S24" s="6">
        <v>2680</v>
      </c>
      <c r="T24" s="6">
        <v>591</v>
      </c>
      <c r="U24" s="11"/>
      <c r="V24" s="6">
        <v>5</v>
      </c>
      <c r="W24" s="6">
        <v>5</v>
      </c>
      <c r="X24" s="6"/>
      <c r="Y24" s="6"/>
      <c r="Z24" s="6">
        <v>54</v>
      </c>
      <c r="AA24" s="10" t="s">
        <v>285</v>
      </c>
      <c r="AB24" s="10" t="s">
        <v>286</v>
      </c>
      <c r="AC24" s="10" t="s">
        <v>94</v>
      </c>
    </row>
    <row r="25" spans="1:29" ht="30">
      <c r="A25" s="6" t="s">
        <v>287</v>
      </c>
      <c r="B25" s="6" t="s">
        <v>218</v>
      </c>
      <c r="C25" s="6" t="s">
        <v>288</v>
      </c>
      <c r="D25" s="10" t="s">
        <v>220</v>
      </c>
      <c r="E25" s="6">
        <v>1199</v>
      </c>
      <c r="F25" s="6">
        <v>145</v>
      </c>
      <c r="G25" s="6">
        <v>230</v>
      </c>
      <c r="H25" s="6" t="s">
        <v>221</v>
      </c>
      <c r="I25" s="6" t="s">
        <v>222</v>
      </c>
      <c r="J25" s="6" t="s">
        <v>434</v>
      </c>
      <c r="K25" s="11"/>
      <c r="L25" s="11"/>
      <c r="M25" s="11">
        <v>5.0999999999999996</v>
      </c>
      <c r="N25" s="11"/>
      <c r="O25" s="6"/>
      <c r="P25" s="6">
        <v>4687</v>
      </c>
      <c r="Q25" s="6">
        <v>1859</v>
      </c>
      <c r="R25" s="6">
        <v>1478</v>
      </c>
      <c r="S25" s="6">
        <v>2787</v>
      </c>
      <c r="T25" s="6">
        <v>536</v>
      </c>
      <c r="U25" s="11"/>
      <c r="V25" s="6">
        <v>5</v>
      </c>
      <c r="W25" s="6">
        <v>5</v>
      </c>
      <c r="X25" s="6">
        <v>10.199999999999999</v>
      </c>
      <c r="Y25" s="6">
        <v>211</v>
      </c>
      <c r="Z25" s="6"/>
      <c r="AA25" s="10" t="s">
        <v>294</v>
      </c>
      <c r="AB25" s="10" t="s">
        <v>296</v>
      </c>
      <c r="AC25" s="10" t="s">
        <v>94</v>
      </c>
    </row>
    <row r="26" spans="1:29" ht="60">
      <c r="A26" s="6" t="s">
        <v>297</v>
      </c>
      <c r="B26" s="6" t="s">
        <v>298</v>
      </c>
      <c r="C26" s="6" t="s">
        <v>299</v>
      </c>
      <c r="D26" s="10" t="s">
        <v>300</v>
      </c>
      <c r="E26" s="6"/>
      <c r="F26" s="6"/>
      <c r="G26" s="6"/>
      <c r="H26" s="6" t="s">
        <v>14</v>
      </c>
      <c r="I26" s="6" t="s">
        <v>302</v>
      </c>
      <c r="J26" s="6" t="s">
        <v>435</v>
      </c>
      <c r="K26" s="11"/>
      <c r="L26" s="11"/>
      <c r="M26" s="11"/>
      <c r="N26" s="11"/>
      <c r="O26" s="6">
        <v>0</v>
      </c>
      <c r="P26" s="6">
        <v>4790</v>
      </c>
      <c r="Q26" s="6">
        <v>1982</v>
      </c>
      <c r="R26" s="6">
        <v>1624</v>
      </c>
      <c r="S26" s="6">
        <v>2890</v>
      </c>
      <c r="T26" s="6"/>
      <c r="U26" s="11"/>
      <c r="V26" s="6">
        <v>5</v>
      </c>
      <c r="W26" s="6">
        <v>5</v>
      </c>
      <c r="X26" s="6"/>
      <c r="Y26" s="6"/>
      <c r="Z26" s="6"/>
      <c r="AA26" s="10" t="s">
        <v>307</v>
      </c>
      <c r="AB26" s="10" t="s">
        <v>309</v>
      </c>
      <c r="AC26" s="10" t="s">
        <v>215</v>
      </c>
    </row>
    <row r="27" spans="1:29" ht="30">
      <c r="A27" s="6" t="s">
        <v>310</v>
      </c>
      <c r="B27" s="6" t="s">
        <v>278</v>
      </c>
      <c r="C27" s="6" t="s">
        <v>311</v>
      </c>
      <c r="D27" s="10" t="s">
        <v>312</v>
      </c>
      <c r="E27" s="6"/>
      <c r="F27" s="6">
        <v>204</v>
      </c>
      <c r="G27" s="6">
        <v>283</v>
      </c>
      <c r="H27" s="6" t="s">
        <v>14</v>
      </c>
      <c r="I27" s="6" t="s">
        <v>302</v>
      </c>
      <c r="J27" s="6" t="s">
        <v>434</v>
      </c>
      <c r="K27" s="11">
        <v>81.400000000000006</v>
      </c>
      <c r="L27" s="11">
        <v>604</v>
      </c>
      <c r="M27" s="11"/>
      <c r="N27" s="11">
        <v>14.9</v>
      </c>
      <c r="O27" s="6">
        <v>0</v>
      </c>
      <c r="P27" s="6">
        <v>4300</v>
      </c>
      <c r="Q27" s="6">
        <v>1850</v>
      </c>
      <c r="R27" s="6">
        <v>1560</v>
      </c>
      <c r="S27" s="6">
        <v>2680</v>
      </c>
      <c r="T27" s="6">
        <v>460</v>
      </c>
      <c r="U27" s="11"/>
      <c r="V27" s="6">
        <v>5</v>
      </c>
      <c r="W27" s="6">
        <v>5</v>
      </c>
      <c r="X27" s="6">
        <v>7.7</v>
      </c>
      <c r="Y27" s="6">
        <v>170</v>
      </c>
      <c r="Z27" s="6"/>
      <c r="AA27" s="10" t="s">
        <v>318</v>
      </c>
      <c r="AB27" s="10" t="s">
        <v>319</v>
      </c>
      <c r="AC27" s="10" t="s">
        <v>81</v>
      </c>
    </row>
    <row r="28" spans="1:29" ht="45">
      <c r="A28" s="6" t="s">
        <v>320</v>
      </c>
      <c r="B28" s="6" t="s">
        <v>321</v>
      </c>
      <c r="C28" s="6" t="s">
        <v>322</v>
      </c>
      <c r="D28" s="10" t="s">
        <v>323</v>
      </c>
      <c r="E28" s="6">
        <v>1597</v>
      </c>
      <c r="F28" s="6">
        <v>170</v>
      </c>
      <c r="G28" s="6">
        <v>250</v>
      </c>
      <c r="H28" s="6" t="s">
        <v>6</v>
      </c>
      <c r="I28" s="6" t="s">
        <v>325</v>
      </c>
      <c r="J28" s="6" t="s">
        <v>435</v>
      </c>
      <c r="K28" s="11"/>
      <c r="L28" s="11"/>
      <c r="M28" s="11">
        <v>7.6</v>
      </c>
      <c r="N28" s="11"/>
      <c r="O28" s="6"/>
      <c r="P28" s="6">
        <v>4713</v>
      </c>
      <c r="Q28" s="6">
        <v>1827</v>
      </c>
      <c r="R28" s="6">
        <v>1440</v>
      </c>
      <c r="S28" s="6">
        <v>2851</v>
      </c>
      <c r="T28" s="6">
        <v>480</v>
      </c>
      <c r="U28" s="11"/>
      <c r="V28" s="6">
        <v>5</v>
      </c>
      <c r="W28" s="6">
        <v>4</v>
      </c>
      <c r="X28" s="6">
        <v>8.1</v>
      </c>
      <c r="Y28" s="6"/>
      <c r="Z28" s="6"/>
      <c r="AA28" s="10" t="s">
        <v>330</v>
      </c>
      <c r="AB28" s="10" t="s">
        <v>331</v>
      </c>
      <c r="AC28" s="10" t="s">
        <v>81</v>
      </c>
    </row>
    <row r="29" spans="1:29" ht="45">
      <c r="A29" s="6" t="s">
        <v>332</v>
      </c>
      <c r="B29" s="6" t="s">
        <v>111</v>
      </c>
      <c r="C29" s="6" t="s">
        <v>333</v>
      </c>
      <c r="D29" s="10" t="s">
        <v>334</v>
      </c>
      <c r="E29" s="6">
        <v>1499</v>
      </c>
      <c r="F29" s="6">
        <v>100</v>
      </c>
      <c r="G29" s="6">
        <v>250</v>
      </c>
      <c r="H29" s="6" t="s">
        <v>12</v>
      </c>
      <c r="I29" s="6" t="s">
        <v>336</v>
      </c>
      <c r="J29" s="6" t="s">
        <v>434</v>
      </c>
      <c r="K29" s="11"/>
      <c r="L29" s="11"/>
      <c r="M29" s="11">
        <v>5.6</v>
      </c>
      <c r="N29" s="11"/>
      <c r="O29" s="6"/>
      <c r="P29" s="6">
        <v>4403</v>
      </c>
      <c r="Q29" s="6">
        <v>1848</v>
      </c>
      <c r="R29" s="6">
        <v>1796</v>
      </c>
      <c r="S29" s="6">
        <v>2785</v>
      </c>
      <c r="T29" s="6"/>
      <c r="U29" s="11">
        <v>3.3</v>
      </c>
      <c r="V29" s="6">
        <v>2</v>
      </c>
      <c r="W29" s="6">
        <v>4</v>
      </c>
      <c r="X29" s="6">
        <v>12.2</v>
      </c>
      <c r="Y29" s="6">
        <v>166</v>
      </c>
      <c r="Z29" s="6">
        <v>50</v>
      </c>
      <c r="AA29" s="10" t="s">
        <v>341</v>
      </c>
      <c r="AB29" s="10" t="s">
        <v>342</v>
      </c>
      <c r="AC29" s="10" t="s">
        <v>94</v>
      </c>
    </row>
    <row r="30" spans="1:29" ht="30">
      <c r="A30" s="6" t="s">
        <v>343</v>
      </c>
      <c r="B30" s="6" t="s">
        <v>111</v>
      </c>
      <c r="C30" s="6" t="s">
        <v>344</v>
      </c>
      <c r="D30" s="10" t="s">
        <v>345</v>
      </c>
      <c r="E30" s="6">
        <v>1499</v>
      </c>
      <c r="F30" s="6">
        <v>130</v>
      </c>
      <c r="G30" s="6">
        <v>300</v>
      </c>
      <c r="H30" s="6" t="s">
        <v>12</v>
      </c>
      <c r="I30" s="6" t="s">
        <v>347</v>
      </c>
      <c r="J30" s="6" t="s">
        <v>434</v>
      </c>
      <c r="K30" s="11"/>
      <c r="L30" s="11"/>
      <c r="M30" s="11">
        <v>5.2</v>
      </c>
      <c r="N30" s="11"/>
      <c r="O30" s="6"/>
      <c r="P30" s="6">
        <v>4403</v>
      </c>
      <c r="Q30" s="6">
        <v>1848</v>
      </c>
      <c r="R30" s="6">
        <v>1812</v>
      </c>
      <c r="S30" s="6">
        <v>2785</v>
      </c>
      <c r="T30" s="6">
        <v>775</v>
      </c>
      <c r="U30" s="11"/>
      <c r="V30" s="6">
        <v>5</v>
      </c>
      <c r="W30" s="6">
        <v>5</v>
      </c>
      <c r="X30" s="6"/>
      <c r="Y30" s="6"/>
      <c r="Z30" s="6">
        <v>50</v>
      </c>
      <c r="AA30" s="10" t="s">
        <v>352</v>
      </c>
      <c r="AB30" s="10" t="s">
        <v>353</v>
      </c>
      <c r="AC30" s="10" t="s">
        <v>94</v>
      </c>
    </row>
    <row r="31" spans="1:29" ht="30">
      <c r="A31" s="6" t="s">
        <v>354</v>
      </c>
      <c r="B31" s="6" t="s">
        <v>111</v>
      </c>
      <c r="C31" s="6" t="s">
        <v>355</v>
      </c>
      <c r="D31" s="10" t="s">
        <v>356</v>
      </c>
      <c r="E31" s="6">
        <v>1499</v>
      </c>
      <c r="F31" s="6">
        <v>120</v>
      </c>
      <c r="G31" s="6">
        <v>300</v>
      </c>
      <c r="H31" s="6" t="s">
        <v>12</v>
      </c>
      <c r="I31" s="6" t="s">
        <v>336</v>
      </c>
      <c r="J31" s="6" t="s">
        <v>434</v>
      </c>
      <c r="K31" s="11"/>
      <c r="L31" s="11"/>
      <c r="M31" s="11">
        <v>6.5</v>
      </c>
      <c r="N31" s="11"/>
      <c r="O31" s="6"/>
      <c r="P31" s="6">
        <v>4959</v>
      </c>
      <c r="Q31" s="6">
        <v>1920</v>
      </c>
      <c r="R31" s="6">
        <v>1895</v>
      </c>
      <c r="S31" s="6">
        <v>3275</v>
      </c>
      <c r="T31" s="6"/>
      <c r="U31" s="11">
        <v>5.8</v>
      </c>
      <c r="V31" s="6">
        <v>3</v>
      </c>
      <c r="W31" s="6">
        <v>4</v>
      </c>
      <c r="X31" s="6"/>
      <c r="Y31" s="6"/>
      <c r="Z31" s="6">
        <v>69</v>
      </c>
      <c r="AA31" s="10" t="s">
        <v>362</v>
      </c>
      <c r="AB31" s="10" t="s">
        <v>363</v>
      </c>
      <c r="AC31" s="10" t="s">
        <v>94</v>
      </c>
    </row>
    <row r="32" spans="1:29" ht="45">
      <c r="A32" s="6" t="s">
        <v>364</v>
      </c>
      <c r="B32" s="6" t="s">
        <v>365</v>
      </c>
      <c r="C32" s="6" t="s">
        <v>366</v>
      </c>
      <c r="D32" s="10" t="s">
        <v>367</v>
      </c>
      <c r="E32" s="6">
        <v>999</v>
      </c>
      <c r="F32" s="6">
        <v>125</v>
      </c>
      <c r="G32" s="6">
        <v>200</v>
      </c>
      <c r="H32" s="6" t="s">
        <v>6</v>
      </c>
      <c r="I32" s="6" t="s">
        <v>368</v>
      </c>
      <c r="J32" s="6" t="s">
        <v>434</v>
      </c>
      <c r="K32" s="11"/>
      <c r="L32" s="11"/>
      <c r="M32" s="11">
        <v>6.8</v>
      </c>
      <c r="N32" s="11"/>
      <c r="O32" s="6"/>
      <c r="P32" s="6">
        <v>4343</v>
      </c>
      <c r="Q32" s="6">
        <v>1876</v>
      </c>
      <c r="R32" s="6">
        <v>1817</v>
      </c>
      <c r="S32" s="6">
        <v>2692</v>
      </c>
      <c r="T32" s="6">
        <v>570</v>
      </c>
      <c r="U32" s="11"/>
      <c r="V32" s="6">
        <v>5</v>
      </c>
      <c r="W32" s="6">
        <v>5</v>
      </c>
      <c r="X32" s="6"/>
      <c r="Y32" s="6"/>
      <c r="Z32" s="6"/>
      <c r="AA32" s="10" t="s">
        <v>373</v>
      </c>
      <c r="AB32" s="10" t="s">
        <v>374</v>
      </c>
      <c r="AC32" s="10" t="s">
        <v>215</v>
      </c>
    </row>
    <row r="33" spans="1:29" ht="60">
      <c r="A33" s="6" t="s">
        <v>375</v>
      </c>
      <c r="B33" s="6" t="s">
        <v>365</v>
      </c>
      <c r="C33" s="6" t="s">
        <v>376</v>
      </c>
      <c r="D33" s="10" t="s">
        <v>377</v>
      </c>
      <c r="E33" s="6">
        <v>1996</v>
      </c>
      <c r="F33" s="6">
        <v>136</v>
      </c>
      <c r="G33" s="6">
        <v>360</v>
      </c>
      <c r="H33" s="6" t="s">
        <v>12</v>
      </c>
      <c r="I33" s="6" t="s">
        <v>378</v>
      </c>
      <c r="J33" s="6" t="s">
        <v>434</v>
      </c>
      <c r="K33" s="11"/>
      <c r="L33" s="11"/>
      <c r="M33" s="11"/>
      <c r="N33" s="11"/>
      <c r="O33" s="6"/>
      <c r="P33" s="6">
        <v>5450</v>
      </c>
      <c r="Q33" s="6"/>
      <c r="R33" s="6"/>
      <c r="S33" s="6"/>
      <c r="T33" s="6"/>
      <c r="U33" s="11">
        <v>6.8</v>
      </c>
      <c r="V33" s="6">
        <v>3</v>
      </c>
      <c r="W33" s="6">
        <v>4</v>
      </c>
      <c r="X33" s="6"/>
      <c r="Y33" s="6"/>
      <c r="Z33" s="6"/>
      <c r="AA33" s="10" t="s">
        <v>383</v>
      </c>
      <c r="AB33" s="10" t="s">
        <v>384</v>
      </c>
      <c r="AC33" s="10" t="s">
        <v>215</v>
      </c>
    </row>
    <row r="34" spans="1:29" ht="45">
      <c r="A34" s="6" t="s">
        <v>385</v>
      </c>
      <c r="B34" s="6" t="s">
        <v>365</v>
      </c>
      <c r="C34" s="6" t="s">
        <v>386</v>
      </c>
      <c r="D34" s="10" t="s">
        <v>387</v>
      </c>
      <c r="E34" s="6">
        <v>1995</v>
      </c>
      <c r="F34" s="6">
        <v>130</v>
      </c>
      <c r="G34" s="6">
        <v>360</v>
      </c>
      <c r="H34" s="6" t="s">
        <v>12</v>
      </c>
      <c r="I34" s="6" t="s">
        <v>336</v>
      </c>
      <c r="J34" s="6" t="s">
        <v>436</v>
      </c>
      <c r="K34" s="11"/>
      <c r="L34" s="11"/>
      <c r="M34" s="11"/>
      <c r="N34" s="11"/>
      <c r="O34" s="6"/>
      <c r="P34" s="6"/>
      <c r="Q34" s="6"/>
      <c r="R34" s="6"/>
      <c r="S34" s="6"/>
      <c r="T34" s="6"/>
      <c r="U34" s="11">
        <v>9.5</v>
      </c>
      <c r="V34" s="6">
        <v>3</v>
      </c>
      <c r="W34" s="6">
        <v>4</v>
      </c>
      <c r="X34" s="6"/>
      <c r="Y34" s="6"/>
      <c r="Z34" s="6"/>
      <c r="AA34" s="10" t="s">
        <v>393</v>
      </c>
      <c r="AB34" s="10" t="s">
        <v>394</v>
      </c>
      <c r="AC34" s="10" t="s">
        <v>215</v>
      </c>
    </row>
    <row r="35" spans="1:29" ht="30">
      <c r="A35" s="6" t="s">
        <v>395</v>
      </c>
      <c r="B35" s="6" t="s">
        <v>396</v>
      </c>
      <c r="C35" s="6" t="s">
        <v>397</v>
      </c>
      <c r="D35" s="10" t="s">
        <v>334</v>
      </c>
      <c r="E35" s="6">
        <v>1499</v>
      </c>
      <c r="F35" s="6">
        <v>100</v>
      </c>
      <c r="G35" s="6">
        <v>250</v>
      </c>
      <c r="H35" s="6" t="s">
        <v>12</v>
      </c>
      <c r="I35" s="6" t="s">
        <v>336</v>
      </c>
      <c r="J35" s="6" t="s">
        <v>434</v>
      </c>
      <c r="K35" s="11"/>
      <c r="L35" s="11"/>
      <c r="M35" s="11">
        <v>5.5</v>
      </c>
      <c r="N35" s="11"/>
      <c r="O35" s="6"/>
      <c r="P35" s="6">
        <v>4753</v>
      </c>
      <c r="Q35" s="6">
        <v>1848</v>
      </c>
      <c r="R35" s="6">
        <v>1880</v>
      </c>
      <c r="S35" s="6">
        <v>2975</v>
      </c>
      <c r="T35" s="6"/>
      <c r="U35" s="11">
        <v>4.4000000000000004</v>
      </c>
      <c r="V35" s="6">
        <v>3</v>
      </c>
      <c r="W35" s="6">
        <v>4</v>
      </c>
      <c r="X35" s="6">
        <v>13.4</v>
      </c>
      <c r="Y35" s="6">
        <v>166</v>
      </c>
      <c r="Z35" s="6">
        <v>50</v>
      </c>
      <c r="AA35" s="10" t="s">
        <v>402</v>
      </c>
      <c r="AB35" s="10" t="s">
        <v>403</v>
      </c>
      <c r="AC35" s="10" t="s">
        <v>81</v>
      </c>
    </row>
    <row r="36" spans="1:29" ht="60">
      <c r="A36" s="6" t="s">
        <v>404</v>
      </c>
      <c r="B36" s="6" t="s">
        <v>111</v>
      </c>
      <c r="C36" s="6" t="s">
        <v>405</v>
      </c>
      <c r="D36" s="10" t="s">
        <v>406</v>
      </c>
      <c r="E36" s="6">
        <v>2184</v>
      </c>
      <c r="F36" s="6">
        <v>140</v>
      </c>
      <c r="G36" s="6">
        <v>350</v>
      </c>
      <c r="H36" s="6" t="s">
        <v>12</v>
      </c>
      <c r="I36" s="6" t="s">
        <v>336</v>
      </c>
      <c r="J36" s="6" t="s">
        <v>434</v>
      </c>
      <c r="K36" s="11"/>
      <c r="L36" s="11"/>
      <c r="M36" s="11"/>
      <c r="N36" s="11"/>
      <c r="O36" s="6"/>
      <c r="P36" s="6"/>
      <c r="Q36" s="6"/>
      <c r="R36" s="6"/>
      <c r="S36" s="6"/>
      <c r="T36" s="6"/>
      <c r="U36" s="11">
        <v>13</v>
      </c>
      <c r="V36" s="6">
        <v>3</v>
      </c>
      <c r="W36" s="6">
        <v>4</v>
      </c>
      <c r="X36" s="6"/>
      <c r="Y36" s="6"/>
      <c r="Z36" s="6"/>
      <c r="AA36" s="10" t="s">
        <v>411</v>
      </c>
      <c r="AB36" s="10" t="s">
        <v>412</v>
      </c>
      <c r="AC36" s="10" t="s">
        <v>215</v>
      </c>
    </row>
  </sheetData>
  <mergeCells count="2">
    <mergeCell ref="A1:AC2"/>
    <mergeCell ref="A3:AC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selection sqref="A1:M2"/>
    </sheetView>
  </sheetViews>
  <sheetFormatPr defaultRowHeight="14.25"/>
  <cols>
    <col min="1" max="1" width="13" customWidth="1"/>
    <col min="2" max="2" width="40" customWidth="1"/>
    <col min="3" max="3" width="24" customWidth="1"/>
    <col min="4" max="8" width="14" customWidth="1"/>
    <col min="9" max="9" width="32" customWidth="1"/>
    <col min="10" max="10" width="58" customWidth="1"/>
    <col min="11" max="12" width="16" customWidth="1"/>
    <col min="13" max="13" width="45" customWidth="1"/>
  </cols>
  <sheetData>
    <row r="1" spans="1:13">
      <c r="A1" s="13" t="s">
        <v>437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5">
      <c r="A3" s="20" t="s">
        <v>438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30">
      <c r="A4" s="5" t="s">
        <v>33</v>
      </c>
      <c r="B4" s="5" t="s">
        <v>439</v>
      </c>
      <c r="C4" s="5" t="s">
        <v>440</v>
      </c>
      <c r="D4" s="5" t="s">
        <v>441</v>
      </c>
      <c r="E4" s="5" t="s">
        <v>442</v>
      </c>
      <c r="F4" s="5" t="s">
        <v>443</v>
      </c>
      <c r="G4" s="5" t="s">
        <v>444</v>
      </c>
      <c r="H4" s="5" t="s">
        <v>445</v>
      </c>
      <c r="I4" s="5" t="s">
        <v>446</v>
      </c>
      <c r="J4" s="5" t="s">
        <v>447</v>
      </c>
      <c r="K4" s="5" t="s">
        <v>448</v>
      </c>
      <c r="L4" s="5" t="s">
        <v>449</v>
      </c>
      <c r="M4" s="5" t="s">
        <v>450</v>
      </c>
    </row>
    <row r="5" spans="1:13" ht="120">
      <c r="A5" s="3" t="s">
        <v>66</v>
      </c>
      <c r="B5" s="4" t="s">
        <v>451</v>
      </c>
      <c r="C5" s="4" t="s">
        <v>452</v>
      </c>
      <c r="D5" s="4">
        <v>15</v>
      </c>
      <c r="E5" s="12">
        <v>28500</v>
      </c>
      <c r="F5" s="12">
        <v>39000</v>
      </c>
      <c r="G5" s="12">
        <v>39456.533333333333</v>
      </c>
      <c r="H5" s="12">
        <v>66758</v>
      </c>
      <c r="I5" s="4" t="s">
        <v>453</v>
      </c>
      <c r="J5" s="4" t="s">
        <v>454</v>
      </c>
      <c r="K5" s="4" t="s">
        <v>455</v>
      </c>
      <c r="L5" s="12">
        <f t="shared" ref="L5:L36" si="0">IF(F5="","",ROUND(F5*1.03/100,0)*100)</f>
        <v>40200</v>
      </c>
      <c r="M5" s="4" t="s">
        <v>456</v>
      </c>
    </row>
    <row r="6" spans="1:13" ht="75">
      <c r="A6" s="3" t="s">
        <v>83</v>
      </c>
      <c r="B6" s="4" t="s">
        <v>457</v>
      </c>
      <c r="C6" s="4" t="s">
        <v>452</v>
      </c>
      <c r="D6" s="4">
        <v>7</v>
      </c>
      <c r="E6" s="12">
        <v>28500</v>
      </c>
      <c r="F6" s="12">
        <v>37900</v>
      </c>
      <c r="G6" s="12">
        <v>36985.857142857145</v>
      </c>
      <c r="H6" s="12">
        <v>43501</v>
      </c>
      <c r="I6" s="4" t="s">
        <v>458</v>
      </c>
      <c r="J6" s="4" t="s">
        <v>459</v>
      </c>
      <c r="K6" s="4" t="s">
        <v>455</v>
      </c>
      <c r="L6" s="12">
        <f t="shared" si="0"/>
        <v>39000</v>
      </c>
      <c r="M6" s="4" t="s">
        <v>456</v>
      </c>
    </row>
    <row r="7" spans="1:13" ht="45">
      <c r="A7" s="3" t="s">
        <v>96</v>
      </c>
      <c r="B7" s="4" t="s">
        <v>460</v>
      </c>
      <c r="C7" s="4" t="s">
        <v>452</v>
      </c>
      <c r="D7" s="4">
        <v>3</v>
      </c>
      <c r="E7" s="12">
        <v>40215</v>
      </c>
      <c r="F7" s="12">
        <v>41900</v>
      </c>
      <c r="G7" s="12">
        <v>44776.333333333336</v>
      </c>
      <c r="H7" s="12">
        <v>52214</v>
      </c>
      <c r="I7" s="4" t="s">
        <v>461</v>
      </c>
      <c r="J7" s="4" t="s">
        <v>462</v>
      </c>
      <c r="K7" s="4" t="s">
        <v>455</v>
      </c>
      <c r="L7" s="12">
        <f t="shared" si="0"/>
        <v>43200</v>
      </c>
      <c r="M7" s="4" t="s">
        <v>456</v>
      </c>
    </row>
    <row r="8" spans="1:13" ht="135">
      <c r="A8" s="3" t="s">
        <v>110</v>
      </c>
      <c r="B8" s="4" t="s">
        <v>463</v>
      </c>
      <c r="C8" s="4" t="s">
        <v>452</v>
      </c>
      <c r="D8" s="4">
        <v>9</v>
      </c>
      <c r="E8" s="12">
        <v>31666</v>
      </c>
      <c r="F8" s="12">
        <v>39000</v>
      </c>
      <c r="G8" s="12">
        <v>48507.555555555555</v>
      </c>
      <c r="H8" s="12">
        <v>94629</v>
      </c>
      <c r="I8" s="4" t="s">
        <v>464</v>
      </c>
      <c r="J8" s="4" t="s">
        <v>465</v>
      </c>
      <c r="K8" s="4" t="s">
        <v>455</v>
      </c>
      <c r="L8" s="12">
        <f t="shared" si="0"/>
        <v>40200</v>
      </c>
      <c r="M8" s="4" t="s">
        <v>456</v>
      </c>
    </row>
    <row r="9" spans="1:13" ht="30">
      <c r="A9" s="3" t="s">
        <v>122</v>
      </c>
      <c r="B9" s="4" t="s">
        <v>466</v>
      </c>
      <c r="C9" s="4" t="s">
        <v>467</v>
      </c>
      <c r="D9" s="4">
        <v>1</v>
      </c>
      <c r="E9" s="12">
        <v>49000</v>
      </c>
      <c r="F9" s="12">
        <v>49000</v>
      </c>
      <c r="G9" s="12">
        <v>49000</v>
      </c>
      <c r="H9" s="12">
        <v>49000</v>
      </c>
      <c r="I9" s="4" t="s">
        <v>468</v>
      </c>
      <c r="J9" s="4" t="s">
        <v>133</v>
      </c>
      <c r="K9" s="4" t="s">
        <v>455</v>
      </c>
      <c r="L9" s="12">
        <f t="shared" si="0"/>
        <v>50500</v>
      </c>
      <c r="M9" s="4" t="s">
        <v>456</v>
      </c>
    </row>
    <row r="10" spans="1:13" ht="45">
      <c r="A10" s="3" t="s">
        <v>135</v>
      </c>
      <c r="B10" s="4" t="s">
        <v>469</v>
      </c>
      <c r="C10" s="4" t="s">
        <v>452</v>
      </c>
      <c r="D10" s="4">
        <v>2</v>
      </c>
      <c r="E10" s="12">
        <v>44200</v>
      </c>
      <c r="F10" s="12">
        <v>48550</v>
      </c>
      <c r="G10" s="12">
        <v>48550</v>
      </c>
      <c r="H10" s="12">
        <v>52900</v>
      </c>
      <c r="I10" s="4" t="s">
        <v>470</v>
      </c>
      <c r="J10" s="4" t="s">
        <v>471</v>
      </c>
      <c r="K10" s="4" t="s">
        <v>455</v>
      </c>
      <c r="L10" s="12">
        <f t="shared" si="0"/>
        <v>50000</v>
      </c>
      <c r="M10" s="4" t="s">
        <v>456</v>
      </c>
    </row>
    <row r="11" spans="1:13" ht="75">
      <c r="A11" s="3" t="s">
        <v>146</v>
      </c>
      <c r="B11" s="4" t="s">
        <v>472</v>
      </c>
      <c r="C11" s="4" t="s">
        <v>452</v>
      </c>
      <c r="D11" s="4">
        <v>6</v>
      </c>
      <c r="E11" s="12">
        <v>52650</v>
      </c>
      <c r="F11" s="12">
        <v>62500</v>
      </c>
      <c r="G11" s="12">
        <v>62654.333333333336</v>
      </c>
      <c r="H11" s="12">
        <v>69875</v>
      </c>
      <c r="I11" s="4" t="s">
        <v>473</v>
      </c>
      <c r="J11" s="4" t="s">
        <v>474</v>
      </c>
      <c r="K11" s="4" t="s">
        <v>455</v>
      </c>
      <c r="L11" s="12">
        <f t="shared" si="0"/>
        <v>64400</v>
      </c>
      <c r="M11" s="4" t="s">
        <v>456</v>
      </c>
    </row>
    <row r="12" spans="1:13" ht="90">
      <c r="A12" s="3" t="s">
        <v>155</v>
      </c>
      <c r="B12" s="4" t="s">
        <v>475</v>
      </c>
      <c r="C12" s="4" t="s">
        <v>452</v>
      </c>
      <c r="D12" s="4">
        <v>7</v>
      </c>
      <c r="E12" s="12">
        <v>46000</v>
      </c>
      <c r="F12" s="12">
        <v>53500</v>
      </c>
      <c r="G12" s="12">
        <v>59043.285714285717</v>
      </c>
      <c r="H12" s="12">
        <v>96829</v>
      </c>
      <c r="I12" s="4" t="s">
        <v>476</v>
      </c>
      <c r="J12" s="4" t="s">
        <v>477</v>
      </c>
      <c r="K12" s="4" t="s">
        <v>455</v>
      </c>
      <c r="L12" s="12">
        <f t="shared" si="0"/>
        <v>55100</v>
      </c>
      <c r="M12" s="4" t="s">
        <v>456</v>
      </c>
    </row>
    <row r="13" spans="1:13" ht="45">
      <c r="A13" s="3" t="s">
        <v>165</v>
      </c>
      <c r="B13" s="4" t="s">
        <v>478</v>
      </c>
      <c r="C13" s="4" t="s">
        <v>452</v>
      </c>
      <c r="D13" s="4">
        <v>6</v>
      </c>
      <c r="E13" s="12">
        <v>46532</v>
      </c>
      <c r="F13" s="12">
        <v>60908</v>
      </c>
      <c r="G13" s="12">
        <v>59653.166666666664</v>
      </c>
      <c r="H13" s="12">
        <v>70871</v>
      </c>
      <c r="I13" s="4" t="s">
        <v>479</v>
      </c>
      <c r="J13" s="4" t="s">
        <v>480</v>
      </c>
      <c r="K13" s="4" t="s">
        <v>455</v>
      </c>
      <c r="L13" s="12">
        <f t="shared" si="0"/>
        <v>62700</v>
      </c>
      <c r="M13" s="4" t="s">
        <v>456</v>
      </c>
    </row>
    <row r="14" spans="1:13" ht="45">
      <c r="A14" s="3" t="s">
        <v>175</v>
      </c>
      <c r="B14" s="4" t="s">
        <v>481</v>
      </c>
      <c r="C14" s="4" t="s">
        <v>452</v>
      </c>
      <c r="D14" s="4">
        <v>4</v>
      </c>
      <c r="E14" s="12">
        <v>72750</v>
      </c>
      <c r="F14" s="12">
        <v>84601</v>
      </c>
      <c r="G14" s="12">
        <v>84713</v>
      </c>
      <c r="H14" s="12">
        <v>96900</v>
      </c>
      <c r="I14" s="4" t="s">
        <v>482</v>
      </c>
      <c r="J14" s="4" t="s">
        <v>483</v>
      </c>
      <c r="K14" s="4" t="s">
        <v>455</v>
      </c>
      <c r="L14" s="12">
        <f t="shared" si="0"/>
        <v>87100</v>
      </c>
      <c r="M14" s="4" t="s">
        <v>456</v>
      </c>
    </row>
    <row r="15" spans="1:13" ht="45">
      <c r="A15" s="3" t="s">
        <v>185</v>
      </c>
      <c r="B15" s="4" t="s">
        <v>484</v>
      </c>
      <c r="C15" s="4" t="s">
        <v>452</v>
      </c>
      <c r="D15" s="4">
        <v>3</v>
      </c>
      <c r="E15" s="12">
        <v>43900</v>
      </c>
      <c r="F15" s="12">
        <v>49217</v>
      </c>
      <c r="G15" s="12">
        <v>47789</v>
      </c>
      <c r="H15" s="12">
        <v>50250</v>
      </c>
      <c r="I15" s="4" t="s">
        <v>485</v>
      </c>
      <c r="J15" s="4" t="s">
        <v>486</v>
      </c>
      <c r="K15" s="4" t="s">
        <v>455</v>
      </c>
      <c r="L15" s="12">
        <f t="shared" si="0"/>
        <v>50700</v>
      </c>
      <c r="M15" s="4" t="s">
        <v>456</v>
      </c>
    </row>
    <row r="16" spans="1:13" ht="75">
      <c r="A16" s="3" t="s">
        <v>194</v>
      </c>
      <c r="B16" s="4" t="s">
        <v>487</v>
      </c>
      <c r="C16" s="4" t="s">
        <v>452</v>
      </c>
      <c r="D16" s="4">
        <v>6</v>
      </c>
      <c r="E16" s="12">
        <v>32485</v>
      </c>
      <c r="F16" s="12">
        <v>38694</v>
      </c>
      <c r="G16" s="12">
        <v>41153.166666666664</v>
      </c>
      <c r="H16" s="12">
        <v>51900</v>
      </c>
      <c r="I16" s="4" t="s">
        <v>488</v>
      </c>
      <c r="J16" s="4" t="s">
        <v>489</v>
      </c>
      <c r="K16" s="4" t="s">
        <v>455</v>
      </c>
      <c r="L16" s="12">
        <f t="shared" si="0"/>
        <v>39900</v>
      </c>
      <c r="M16" s="4" t="s">
        <v>456</v>
      </c>
    </row>
    <row r="17" spans="1:13" ht="30">
      <c r="A17" s="3" t="s">
        <v>206</v>
      </c>
      <c r="B17" s="4" t="s">
        <v>490</v>
      </c>
      <c r="C17" s="4" t="s">
        <v>452</v>
      </c>
      <c r="D17" s="4">
        <v>2</v>
      </c>
      <c r="E17" s="12">
        <v>51900</v>
      </c>
      <c r="F17" s="12">
        <v>54688.5</v>
      </c>
      <c r="G17" s="12">
        <v>54688.5</v>
      </c>
      <c r="H17" s="12">
        <v>57477</v>
      </c>
      <c r="I17" s="4" t="s">
        <v>491</v>
      </c>
      <c r="J17" s="4" t="s">
        <v>492</v>
      </c>
      <c r="K17" s="4" t="s">
        <v>455</v>
      </c>
      <c r="L17" s="12">
        <f t="shared" si="0"/>
        <v>56300</v>
      </c>
      <c r="M17" s="4" t="s">
        <v>456</v>
      </c>
    </row>
    <row r="18" spans="1:13" ht="45">
      <c r="A18" s="3" t="s">
        <v>217</v>
      </c>
      <c r="B18" s="4" t="s">
        <v>493</v>
      </c>
      <c r="C18" s="4" t="s">
        <v>452</v>
      </c>
      <c r="D18" s="4">
        <v>3</v>
      </c>
      <c r="E18" s="12">
        <v>55550</v>
      </c>
      <c r="F18" s="12">
        <v>55900</v>
      </c>
      <c r="G18" s="12">
        <v>56672</v>
      </c>
      <c r="H18" s="12">
        <v>58566</v>
      </c>
      <c r="I18" s="4" t="s">
        <v>461</v>
      </c>
      <c r="J18" s="4" t="s">
        <v>462</v>
      </c>
      <c r="K18" s="4" t="s">
        <v>455</v>
      </c>
      <c r="L18" s="12">
        <f t="shared" si="0"/>
        <v>57600</v>
      </c>
      <c r="M18" s="4" t="s">
        <v>456</v>
      </c>
    </row>
    <row r="19" spans="1:13" ht="30">
      <c r="A19" s="3" t="s">
        <v>229</v>
      </c>
      <c r="B19" s="4" t="s">
        <v>494</v>
      </c>
      <c r="C19" s="4" t="s">
        <v>495</v>
      </c>
      <c r="D19" s="4">
        <v>2</v>
      </c>
      <c r="E19" s="12">
        <v>45833</v>
      </c>
      <c r="F19" s="12">
        <v>51916.5</v>
      </c>
      <c r="G19" s="12">
        <v>51916.5</v>
      </c>
      <c r="H19" s="12">
        <v>58000</v>
      </c>
      <c r="I19" s="4" t="s">
        <v>496</v>
      </c>
      <c r="J19" s="4" t="s">
        <v>497</v>
      </c>
      <c r="K19" s="4" t="s">
        <v>455</v>
      </c>
      <c r="L19" s="12">
        <f t="shared" si="0"/>
        <v>53500</v>
      </c>
      <c r="M19" s="4" t="s">
        <v>456</v>
      </c>
    </row>
    <row r="20" spans="1:13" ht="45">
      <c r="A20" s="3" t="s">
        <v>238</v>
      </c>
      <c r="B20" s="4" t="s">
        <v>498</v>
      </c>
      <c r="C20" s="4" t="s">
        <v>452</v>
      </c>
      <c r="D20" s="4">
        <v>4</v>
      </c>
      <c r="E20" s="12">
        <v>37950</v>
      </c>
      <c r="F20" s="12">
        <v>63283</v>
      </c>
      <c r="G20" s="12">
        <v>78438</v>
      </c>
      <c r="H20" s="12">
        <v>149236</v>
      </c>
      <c r="I20" s="4" t="s">
        <v>499</v>
      </c>
      <c r="J20" s="4" t="s">
        <v>500</v>
      </c>
      <c r="K20" s="4" t="s">
        <v>455</v>
      </c>
      <c r="L20" s="12">
        <f t="shared" si="0"/>
        <v>65200</v>
      </c>
      <c r="M20" s="4" t="s">
        <v>456</v>
      </c>
    </row>
    <row r="21" spans="1:13" ht="75">
      <c r="A21" s="3" t="s">
        <v>248</v>
      </c>
      <c r="B21" s="4" t="s">
        <v>501</v>
      </c>
      <c r="C21" s="4" t="s">
        <v>452</v>
      </c>
      <c r="D21" s="4">
        <v>5</v>
      </c>
      <c r="E21" s="12">
        <v>58230</v>
      </c>
      <c r="F21" s="12">
        <v>75000</v>
      </c>
      <c r="G21" s="12">
        <v>71278</v>
      </c>
      <c r="H21" s="12">
        <v>80735</v>
      </c>
      <c r="I21" s="4" t="s">
        <v>502</v>
      </c>
      <c r="J21" s="4" t="s">
        <v>503</v>
      </c>
      <c r="K21" s="4" t="s">
        <v>455</v>
      </c>
      <c r="L21" s="12">
        <f t="shared" si="0"/>
        <v>77300</v>
      </c>
      <c r="M21" s="4" t="s">
        <v>456</v>
      </c>
    </row>
    <row r="22" spans="1:13" ht="60">
      <c r="A22" s="3" t="s">
        <v>257</v>
      </c>
      <c r="B22" s="4" t="s">
        <v>504</v>
      </c>
      <c r="C22" s="4" t="s">
        <v>452</v>
      </c>
      <c r="D22" s="4">
        <v>3</v>
      </c>
      <c r="E22" s="12">
        <v>49000</v>
      </c>
      <c r="F22" s="12">
        <v>65000</v>
      </c>
      <c r="G22" s="12">
        <v>59666.666666666664</v>
      </c>
      <c r="H22" s="12">
        <v>65000</v>
      </c>
      <c r="I22" s="4" t="s">
        <v>505</v>
      </c>
      <c r="J22" s="4" t="s">
        <v>506</v>
      </c>
      <c r="K22" s="4" t="s">
        <v>455</v>
      </c>
      <c r="L22" s="12">
        <f t="shared" si="0"/>
        <v>67000</v>
      </c>
      <c r="M22" s="4" t="s">
        <v>456</v>
      </c>
    </row>
    <row r="23" spans="1:13" ht="45">
      <c r="A23" s="3" t="s">
        <v>266</v>
      </c>
      <c r="B23" s="4" t="s">
        <v>507</v>
      </c>
      <c r="C23" s="4" t="s">
        <v>452</v>
      </c>
      <c r="D23" s="4">
        <v>2</v>
      </c>
      <c r="E23" s="12">
        <v>52000</v>
      </c>
      <c r="F23" s="12">
        <v>63550</v>
      </c>
      <c r="G23" s="12">
        <v>63550</v>
      </c>
      <c r="H23" s="12">
        <v>75100</v>
      </c>
      <c r="I23" s="4" t="s">
        <v>508</v>
      </c>
      <c r="J23" s="4" t="s">
        <v>509</v>
      </c>
      <c r="K23" s="4" t="s">
        <v>455</v>
      </c>
      <c r="L23" s="12">
        <f t="shared" si="0"/>
        <v>65500</v>
      </c>
      <c r="M23" s="4" t="s">
        <v>456</v>
      </c>
    </row>
    <row r="24" spans="1:13" ht="30">
      <c r="A24" s="3" t="s">
        <v>277</v>
      </c>
      <c r="B24" s="4" t="s">
        <v>510</v>
      </c>
      <c r="C24" s="4" t="s">
        <v>467</v>
      </c>
      <c r="D24" s="4">
        <v>2</v>
      </c>
      <c r="E24" s="12">
        <v>51800</v>
      </c>
      <c r="F24" s="12">
        <v>54850</v>
      </c>
      <c r="G24" s="12">
        <v>54850</v>
      </c>
      <c r="H24" s="12">
        <v>57900</v>
      </c>
      <c r="I24" s="4" t="s">
        <v>511</v>
      </c>
      <c r="J24" s="4" t="s">
        <v>512</v>
      </c>
      <c r="K24" s="4" t="s">
        <v>455</v>
      </c>
      <c r="L24" s="12">
        <f t="shared" si="0"/>
        <v>56500</v>
      </c>
      <c r="M24" s="4" t="s">
        <v>456</v>
      </c>
    </row>
    <row r="25" spans="1:13" ht="30">
      <c r="A25" s="3" t="s">
        <v>287</v>
      </c>
      <c r="B25" s="4" t="s">
        <v>513</v>
      </c>
      <c r="C25" s="4" t="s">
        <v>452</v>
      </c>
      <c r="D25" s="4">
        <v>2</v>
      </c>
      <c r="E25" s="12">
        <v>58430</v>
      </c>
      <c r="F25" s="12">
        <v>59677.5</v>
      </c>
      <c r="G25" s="12">
        <v>59677.5</v>
      </c>
      <c r="H25" s="12">
        <v>60925</v>
      </c>
      <c r="I25" s="4" t="s">
        <v>514</v>
      </c>
      <c r="J25" s="4" t="s">
        <v>515</v>
      </c>
      <c r="K25" s="4" t="s">
        <v>455</v>
      </c>
      <c r="L25" s="12">
        <f t="shared" si="0"/>
        <v>61500</v>
      </c>
      <c r="M25" s="4" t="s">
        <v>456</v>
      </c>
    </row>
    <row r="26" spans="1:13" ht="30">
      <c r="A26" s="3" t="s">
        <v>297</v>
      </c>
      <c r="B26" s="4" t="s">
        <v>516</v>
      </c>
      <c r="C26" s="4" t="s">
        <v>452</v>
      </c>
      <c r="D26" s="4">
        <v>5</v>
      </c>
      <c r="E26" s="12">
        <v>67950</v>
      </c>
      <c r="F26" s="12">
        <v>78000</v>
      </c>
      <c r="G26" s="12">
        <v>81760</v>
      </c>
      <c r="H26" s="12">
        <v>109950</v>
      </c>
      <c r="I26" s="4" t="s">
        <v>517</v>
      </c>
      <c r="J26" s="4" t="s">
        <v>518</v>
      </c>
      <c r="K26" s="4" t="s">
        <v>455</v>
      </c>
      <c r="L26" s="12">
        <f t="shared" si="0"/>
        <v>80300</v>
      </c>
      <c r="M26" s="4" t="s">
        <v>456</v>
      </c>
    </row>
    <row r="27" spans="1:13" ht="30">
      <c r="A27" s="3" t="s">
        <v>310</v>
      </c>
      <c r="B27" s="4" t="s">
        <v>519</v>
      </c>
      <c r="C27" s="4" t="s">
        <v>452</v>
      </c>
      <c r="D27" s="4">
        <v>2</v>
      </c>
      <c r="E27" s="12">
        <v>63900</v>
      </c>
      <c r="F27" s="12">
        <v>64925</v>
      </c>
      <c r="G27" s="12">
        <v>64925</v>
      </c>
      <c r="H27" s="12">
        <v>65950</v>
      </c>
      <c r="I27" s="4" t="s">
        <v>520</v>
      </c>
      <c r="J27" s="4" t="s">
        <v>521</v>
      </c>
      <c r="K27" s="4" t="s">
        <v>455</v>
      </c>
      <c r="L27" s="12">
        <f t="shared" si="0"/>
        <v>66900</v>
      </c>
      <c r="M27" s="4" t="s">
        <v>456</v>
      </c>
    </row>
    <row r="28" spans="1:13" ht="45">
      <c r="A28" s="3" t="s">
        <v>320</v>
      </c>
      <c r="B28" s="4" t="s">
        <v>522</v>
      </c>
      <c r="C28" s="4" t="s">
        <v>452</v>
      </c>
      <c r="D28" s="4">
        <v>4</v>
      </c>
      <c r="E28" s="12">
        <v>85300</v>
      </c>
      <c r="F28" s="12">
        <v>106601</v>
      </c>
      <c r="G28" s="12">
        <v>105875.5</v>
      </c>
      <c r="H28" s="12">
        <v>125000</v>
      </c>
      <c r="I28" s="4" t="s">
        <v>523</v>
      </c>
      <c r="J28" s="4" t="s">
        <v>524</v>
      </c>
      <c r="K28" s="4" t="s">
        <v>455</v>
      </c>
      <c r="L28" s="12">
        <f t="shared" si="0"/>
        <v>109800</v>
      </c>
      <c r="M28" s="4" t="s">
        <v>456</v>
      </c>
    </row>
    <row r="29" spans="1:13" ht="45">
      <c r="A29" s="3" t="s">
        <v>332</v>
      </c>
      <c r="B29" s="4" t="s">
        <v>525</v>
      </c>
      <c r="C29" s="4" t="s">
        <v>452</v>
      </c>
      <c r="D29" s="4">
        <v>3</v>
      </c>
      <c r="E29" s="12">
        <v>28900</v>
      </c>
      <c r="F29" s="12">
        <v>31265</v>
      </c>
      <c r="G29" s="12">
        <v>33212.333333333336</v>
      </c>
      <c r="H29" s="12">
        <v>39472</v>
      </c>
      <c r="I29" s="4" t="s">
        <v>526</v>
      </c>
      <c r="J29" s="4" t="s">
        <v>527</v>
      </c>
      <c r="K29" s="4" t="s">
        <v>455</v>
      </c>
      <c r="L29" s="12">
        <f t="shared" si="0"/>
        <v>32200</v>
      </c>
      <c r="M29" s="4" t="s">
        <v>456</v>
      </c>
    </row>
    <row r="30" spans="1:13" ht="75">
      <c r="A30" s="3" t="s">
        <v>343</v>
      </c>
      <c r="B30" s="4" t="s">
        <v>528</v>
      </c>
      <c r="C30" s="4" t="s">
        <v>452</v>
      </c>
      <c r="D30" s="4">
        <v>7</v>
      </c>
      <c r="E30" s="12">
        <v>27360</v>
      </c>
      <c r="F30" s="12">
        <v>36645</v>
      </c>
      <c r="G30" s="12">
        <v>36559.428571428572</v>
      </c>
      <c r="H30" s="12">
        <v>45000</v>
      </c>
      <c r="I30" s="4" t="s">
        <v>529</v>
      </c>
      <c r="J30" s="4" t="s">
        <v>530</v>
      </c>
      <c r="K30" s="4" t="s">
        <v>455</v>
      </c>
      <c r="L30" s="12">
        <f t="shared" si="0"/>
        <v>37700</v>
      </c>
      <c r="M30" s="4" t="s">
        <v>456</v>
      </c>
    </row>
    <row r="31" spans="1:13" ht="45">
      <c r="A31" s="3" t="s">
        <v>354</v>
      </c>
      <c r="B31" s="4" t="s">
        <v>531</v>
      </c>
      <c r="C31" s="4" t="s">
        <v>452</v>
      </c>
      <c r="D31" s="4">
        <v>3</v>
      </c>
      <c r="E31" s="12">
        <v>35350</v>
      </c>
      <c r="F31" s="12">
        <v>41666</v>
      </c>
      <c r="G31" s="12">
        <v>40781</v>
      </c>
      <c r="H31" s="12">
        <v>45327</v>
      </c>
      <c r="I31" s="4" t="s">
        <v>532</v>
      </c>
      <c r="J31" s="4" t="s">
        <v>533</v>
      </c>
      <c r="K31" s="4" t="s">
        <v>455</v>
      </c>
      <c r="L31" s="12">
        <f t="shared" si="0"/>
        <v>42900</v>
      </c>
      <c r="M31" s="4" t="s">
        <v>456</v>
      </c>
    </row>
    <row r="32" spans="1:13" ht="30">
      <c r="A32" s="3" t="s">
        <v>364</v>
      </c>
      <c r="B32" s="4" t="s">
        <v>534</v>
      </c>
      <c r="C32" s="4" t="s">
        <v>495</v>
      </c>
      <c r="D32" s="4">
        <v>4</v>
      </c>
      <c r="E32" s="12">
        <v>28000</v>
      </c>
      <c r="F32" s="12">
        <v>30500</v>
      </c>
      <c r="G32" s="12">
        <v>36142.25</v>
      </c>
      <c r="H32" s="12">
        <v>55569</v>
      </c>
      <c r="I32" s="4" t="s">
        <v>535</v>
      </c>
      <c r="J32" s="4" t="s">
        <v>295</v>
      </c>
      <c r="K32" s="4" t="s">
        <v>455</v>
      </c>
      <c r="L32" s="12">
        <f t="shared" si="0"/>
        <v>31400</v>
      </c>
      <c r="M32" s="4" t="s">
        <v>456</v>
      </c>
    </row>
    <row r="33" spans="1:13" ht="30">
      <c r="A33" s="3" t="s">
        <v>375</v>
      </c>
      <c r="B33" s="4" t="s">
        <v>536</v>
      </c>
      <c r="C33" s="4" t="s">
        <v>452</v>
      </c>
      <c r="D33" s="4">
        <v>3</v>
      </c>
      <c r="E33" s="12">
        <v>59347</v>
      </c>
      <c r="F33" s="12">
        <v>60958</v>
      </c>
      <c r="G33" s="12">
        <v>60922.666666666664</v>
      </c>
      <c r="H33" s="12">
        <v>62463</v>
      </c>
      <c r="I33" s="4" t="s">
        <v>535</v>
      </c>
      <c r="J33" s="4" t="s">
        <v>295</v>
      </c>
      <c r="K33" s="4" t="s">
        <v>455</v>
      </c>
      <c r="L33" s="12">
        <f t="shared" si="0"/>
        <v>62800</v>
      </c>
      <c r="M33" s="4" t="s">
        <v>456</v>
      </c>
    </row>
    <row r="34" spans="1:13" ht="30">
      <c r="A34" s="3" t="s">
        <v>385</v>
      </c>
      <c r="B34" s="4" t="s">
        <v>537</v>
      </c>
      <c r="C34" s="4" t="s">
        <v>495</v>
      </c>
      <c r="D34" s="4">
        <v>4</v>
      </c>
      <c r="E34" s="12">
        <v>45833</v>
      </c>
      <c r="F34" s="12">
        <v>62510</v>
      </c>
      <c r="G34" s="12">
        <v>59538</v>
      </c>
      <c r="H34" s="12">
        <v>67299</v>
      </c>
      <c r="I34" s="4" t="s">
        <v>538</v>
      </c>
      <c r="J34" s="4" t="s">
        <v>539</v>
      </c>
      <c r="K34" s="4" t="s">
        <v>455</v>
      </c>
      <c r="L34" s="12">
        <f t="shared" si="0"/>
        <v>64400</v>
      </c>
      <c r="M34" s="4" t="s">
        <v>456</v>
      </c>
    </row>
    <row r="35" spans="1:13" ht="30">
      <c r="A35" s="3" t="s">
        <v>395</v>
      </c>
      <c r="B35" s="4" t="s">
        <v>540</v>
      </c>
      <c r="C35" s="4" t="s">
        <v>467</v>
      </c>
      <c r="D35" s="4">
        <v>1</v>
      </c>
      <c r="E35" s="12">
        <v>37500</v>
      </c>
      <c r="F35" s="12">
        <v>37500</v>
      </c>
      <c r="G35" s="12">
        <v>37500</v>
      </c>
      <c r="H35" s="12">
        <v>37500</v>
      </c>
      <c r="I35" s="4" t="s">
        <v>541</v>
      </c>
      <c r="J35" s="4" t="s">
        <v>80</v>
      </c>
      <c r="K35" s="4" t="s">
        <v>455</v>
      </c>
      <c r="L35" s="12">
        <f t="shared" si="0"/>
        <v>38600</v>
      </c>
      <c r="M35" s="4" t="s">
        <v>456</v>
      </c>
    </row>
    <row r="36" spans="1:13" ht="30">
      <c r="A36" s="3" t="s">
        <v>404</v>
      </c>
      <c r="B36" s="4" t="s">
        <v>542</v>
      </c>
      <c r="C36" s="4" t="s">
        <v>452</v>
      </c>
      <c r="D36" s="4">
        <v>2</v>
      </c>
      <c r="E36" s="12">
        <v>49763</v>
      </c>
      <c r="F36" s="12">
        <v>51964.5</v>
      </c>
      <c r="G36" s="12">
        <v>51964.5</v>
      </c>
      <c r="H36" s="12">
        <v>54166</v>
      </c>
      <c r="I36" s="4" t="s">
        <v>538</v>
      </c>
      <c r="J36" s="4" t="s">
        <v>539</v>
      </c>
      <c r="K36" s="4" t="s">
        <v>455</v>
      </c>
      <c r="L36" s="12">
        <f t="shared" si="0"/>
        <v>53500</v>
      </c>
      <c r="M36" s="4" t="s">
        <v>456</v>
      </c>
    </row>
  </sheetData>
  <mergeCells count="2">
    <mergeCell ref="A1:M2"/>
    <mergeCell ref="A3:M3"/>
  </mergeCells>
  <conditionalFormatting sqref="F5:F36">
    <cfRule type="dataBar" priority="1">
      <dataBar>
        <cfvo type="min"/>
        <cfvo type="max"/>
        <color rgb="FF008C95"/>
      </dataBar>
    </cfRule>
    <cfRule type="dataBar" priority="2">
      <dataBar>
        <cfvo type="min"/>
        <cfvo type="max"/>
        <color rgb="FF008C95"/>
      </dataBar>
      <extLst>
        <ext xmlns:x14="http://schemas.microsoft.com/office/spreadsheetml/2009/9/main" uri="{B025F937-C7B1-47D3-B67F-A62EFF666E3E}">
          <x14:id>{DDE49466-D3CD-23F8-2EFF-5BA1E9BE59BB}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E49466-D3CD-23F8-2EFF-5BA1E9BE59BB}">
            <x14:dataBar>
              <x14:cfvo type="min"/>
              <x14:cfvo type="max"/>
              <x14:negativeFillColor auto="1"/>
              <x14:axisColor auto="1"/>
            </x14:dataBar>
          </x14:cfRule>
          <xm:sqref>F5:F36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6"/>
  <sheetViews>
    <sheetView workbookViewId="0">
      <selection sqref="A1:P2"/>
    </sheetView>
  </sheetViews>
  <sheetFormatPr defaultRowHeight="14.25"/>
  <cols>
    <col min="1" max="2" width="15" customWidth="1"/>
    <col min="3" max="5" width="28" customWidth="1"/>
    <col min="6" max="8" width="18" customWidth="1"/>
    <col min="9" max="12" width="15" customWidth="1"/>
    <col min="14" max="14" width="42" customWidth="1"/>
    <col min="15" max="15" width="55" customWidth="1"/>
    <col min="16" max="16" width="14" customWidth="1"/>
  </cols>
  <sheetData>
    <row r="1" spans="1:16">
      <c r="A1" s="13" t="s">
        <v>543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30">
      <c r="A4" s="5" t="s">
        <v>33</v>
      </c>
      <c r="B4" s="5" t="s">
        <v>544</v>
      </c>
      <c r="C4" s="5" t="s">
        <v>545</v>
      </c>
      <c r="D4" s="5" t="s">
        <v>36</v>
      </c>
      <c r="E4" s="5" t="s">
        <v>546</v>
      </c>
      <c r="F4" s="5" t="s">
        <v>40</v>
      </c>
      <c r="G4" s="5" t="s">
        <v>41</v>
      </c>
      <c r="H4" s="5" t="s">
        <v>42</v>
      </c>
      <c r="I4" s="5" t="s">
        <v>39</v>
      </c>
      <c r="J4" s="5" t="s">
        <v>547</v>
      </c>
      <c r="K4" s="5" t="s">
        <v>548</v>
      </c>
      <c r="L4" s="5" t="s">
        <v>549</v>
      </c>
      <c r="M4" s="5" t="s">
        <v>550</v>
      </c>
      <c r="N4" s="5" t="s">
        <v>551</v>
      </c>
      <c r="O4" s="5" t="s">
        <v>552</v>
      </c>
      <c r="P4" s="5" t="s">
        <v>553</v>
      </c>
    </row>
    <row r="5" spans="1:16" ht="30">
      <c r="A5" s="3" t="s">
        <v>66</v>
      </c>
      <c r="B5" s="3" t="s">
        <v>554</v>
      </c>
      <c r="C5" s="3" t="s">
        <v>541</v>
      </c>
      <c r="D5" s="4" t="s">
        <v>555</v>
      </c>
      <c r="E5" s="4" t="s">
        <v>556</v>
      </c>
      <c r="F5" s="4" t="s">
        <v>557</v>
      </c>
      <c r="G5" s="4" t="s">
        <v>6</v>
      </c>
      <c r="H5" s="4" t="s">
        <v>558</v>
      </c>
      <c r="I5" s="4"/>
      <c r="J5" s="4"/>
      <c r="K5" s="4">
        <v>4000</v>
      </c>
      <c r="L5" s="4" t="s">
        <v>559</v>
      </c>
      <c r="M5" s="12">
        <v>33333</v>
      </c>
      <c r="N5" s="4" t="s">
        <v>560</v>
      </c>
      <c r="O5" s="4" t="s">
        <v>80</v>
      </c>
      <c r="P5" s="4" t="s">
        <v>455</v>
      </c>
    </row>
    <row r="6" spans="1:16" ht="30">
      <c r="A6" s="3" t="s">
        <v>66</v>
      </c>
      <c r="B6" s="3" t="s">
        <v>561</v>
      </c>
      <c r="C6" s="3" t="s">
        <v>562</v>
      </c>
      <c r="D6" s="4" t="s">
        <v>555</v>
      </c>
      <c r="E6" s="4" t="s">
        <v>563</v>
      </c>
      <c r="F6" s="4" t="s">
        <v>557</v>
      </c>
      <c r="G6" s="4" t="s">
        <v>6</v>
      </c>
      <c r="H6" s="4" t="s">
        <v>564</v>
      </c>
      <c r="I6" s="4">
        <v>2026</v>
      </c>
      <c r="J6" s="4"/>
      <c r="K6" s="4"/>
      <c r="L6" s="4" t="s">
        <v>565</v>
      </c>
      <c r="M6" s="12">
        <v>35900</v>
      </c>
      <c r="N6" s="4" t="s">
        <v>566</v>
      </c>
      <c r="O6" s="4" t="s">
        <v>93</v>
      </c>
      <c r="P6" s="4" t="s">
        <v>455</v>
      </c>
    </row>
    <row r="7" spans="1:16" ht="30">
      <c r="A7" s="3" t="s">
        <v>66</v>
      </c>
      <c r="B7" s="3" t="s">
        <v>567</v>
      </c>
      <c r="C7" s="3" t="s">
        <v>568</v>
      </c>
      <c r="D7" s="4" t="s">
        <v>555</v>
      </c>
      <c r="E7" s="4" t="s">
        <v>69</v>
      </c>
      <c r="F7" s="4" t="s">
        <v>557</v>
      </c>
      <c r="G7" s="4" t="s">
        <v>6</v>
      </c>
      <c r="H7" s="4" t="s">
        <v>564</v>
      </c>
      <c r="I7" s="4"/>
      <c r="J7" s="4">
        <v>12</v>
      </c>
      <c r="K7" s="4">
        <v>30000</v>
      </c>
      <c r="L7" s="4" t="s">
        <v>569</v>
      </c>
      <c r="M7" s="12">
        <v>45500</v>
      </c>
      <c r="N7" s="4" t="s">
        <v>570</v>
      </c>
      <c r="O7" s="4" t="s">
        <v>108</v>
      </c>
      <c r="P7" s="4" t="s">
        <v>455</v>
      </c>
    </row>
    <row r="8" spans="1:16" ht="30">
      <c r="A8" s="3" t="s">
        <v>66</v>
      </c>
      <c r="B8" s="3" t="s">
        <v>571</v>
      </c>
      <c r="C8" s="3" t="s">
        <v>535</v>
      </c>
      <c r="D8" s="4" t="s">
        <v>555</v>
      </c>
      <c r="E8" s="4" t="s">
        <v>572</v>
      </c>
      <c r="F8" s="4" t="s">
        <v>557</v>
      </c>
      <c r="G8" s="4" t="s">
        <v>6</v>
      </c>
      <c r="H8" s="4" t="s">
        <v>564</v>
      </c>
      <c r="I8" s="4"/>
      <c r="J8" s="4"/>
      <c r="K8" s="4"/>
      <c r="L8" s="4" t="s">
        <v>565</v>
      </c>
      <c r="M8" s="12">
        <v>44039</v>
      </c>
      <c r="N8" s="4" t="s">
        <v>573</v>
      </c>
      <c r="O8" s="4" t="s">
        <v>295</v>
      </c>
      <c r="P8" s="4" t="s">
        <v>455</v>
      </c>
    </row>
    <row r="9" spans="1:16" ht="30">
      <c r="A9" s="3" t="s">
        <v>66</v>
      </c>
      <c r="B9" s="3" t="s">
        <v>574</v>
      </c>
      <c r="C9" s="3" t="s">
        <v>575</v>
      </c>
      <c r="D9" s="4" t="s">
        <v>555</v>
      </c>
      <c r="E9" s="4" t="s">
        <v>576</v>
      </c>
      <c r="F9" s="4" t="s">
        <v>557</v>
      </c>
      <c r="G9" s="4" t="s">
        <v>577</v>
      </c>
      <c r="H9" s="4" t="s">
        <v>577</v>
      </c>
      <c r="I9" s="4"/>
      <c r="J9" s="4">
        <v>1</v>
      </c>
      <c r="K9" s="4"/>
      <c r="L9" s="4" t="s">
        <v>565</v>
      </c>
      <c r="M9" s="12">
        <v>29000</v>
      </c>
      <c r="N9" s="4" t="s">
        <v>578</v>
      </c>
      <c r="O9" s="4" t="s">
        <v>579</v>
      </c>
      <c r="P9" s="4" t="s">
        <v>455</v>
      </c>
    </row>
    <row r="10" spans="1:16" ht="30">
      <c r="A10" s="3" t="s">
        <v>66</v>
      </c>
      <c r="B10" s="3" t="s">
        <v>580</v>
      </c>
      <c r="C10" s="3" t="s">
        <v>581</v>
      </c>
      <c r="D10" s="4" t="s">
        <v>555</v>
      </c>
      <c r="E10" s="4" t="s">
        <v>582</v>
      </c>
      <c r="F10" s="4" t="s">
        <v>557</v>
      </c>
      <c r="G10" s="4" t="s">
        <v>6</v>
      </c>
      <c r="H10" s="4" t="s">
        <v>564</v>
      </c>
      <c r="I10" s="4">
        <v>2026</v>
      </c>
      <c r="J10" s="4">
        <v>24</v>
      </c>
      <c r="K10" s="4">
        <v>10000</v>
      </c>
      <c r="L10" s="4" t="s">
        <v>583</v>
      </c>
      <c r="M10" s="12">
        <v>40396</v>
      </c>
      <c r="N10" s="4" t="s">
        <v>584</v>
      </c>
      <c r="O10" s="4" t="s">
        <v>585</v>
      </c>
      <c r="P10" s="4" t="s">
        <v>455</v>
      </c>
    </row>
    <row r="11" spans="1:16" ht="30">
      <c r="A11" s="3" t="s">
        <v>66</v>
      </c>
      <c r="B11" s="3" t="s">
        <v>586</v>
      </c>
      <c r="C11" s="3" t="s">
        <v>587</v>
      </c>
      <c r="D11" s="4" t="s">
        <v>555</v>
      </c>
      <c r="E11" s="4" t="s">
        <v>588</v>
      </c>
      <c r="F11" s="4" t="s">
        <v>557</v>
      </c>
      <c r="G11" s="4" t="s">
        <v>6</v>
      </c>
      <c r="H11" s="4" t="s">
        <v>564</v>
      </c>
      <c r="I11" s="4"/>
      <c r="J11" s="4"/>
      <c r="K11" s="4"/>
      <c r="L11" s="4" t="s">
        <v>565</v>
      </c>
      <c r="M11" s="12">
        <v>40000</v>
      </c>
      <c r="N11" s="4" t="s">
        <v>589</v>
      </c>
      <c r="O11" s="4" t="s">
        <v>590</v>
      </c>
      <c r="P11" s="4" t="s">
        <v>455</v>
      </c>
    </row>
    <row r="12" spans="1:16" ht="30">
      <c r="A12" s="3" t="s">
        <v>66</v>
      </c>
      <c r="B12" s="3" t="s">
        <v>591</v>
      </c>
      <c r="C12" s="3" t="s">
        <v>468</v>
      </c>
      <c r="D12" s="4" t="s">
        <v>555</v>
      </c>
      <c r="E12" s="4" t="s">
        <v>69</v>
      </c>
      <c r="F12" s="4" t="s">
        <v>557</v>
      </c>
      <c r="G12" s="4" t="s">
        <v>577</v>
      </c>
      <c r="H12" s="4" t="s">
        <v>577</v>
      </c>
      <c r="I12" s="4"/>
      <c r="J12" s="4">
        <v>1</v>
      </c>
      <c r="K12" s="4"/>
      <c r="L12" s="4" t="s">
        <v>592</v>
      </c>
      <c r="M12" s="12">
        <v>39000</v>
      </c>
      <c r="N12" s="4" t="s">
        <v>593</v>
      </c>
      <c r="O12" s="4" t="s">
        <v>133</v>
      </c>
      <c r="P12" s="4" t="s">
        <v>455</v>
      </c>
    </row>
    <row r="13" spans="1:16" ht="30">
      <c r="A13" s="3" t="s">
        <v>66</v>
      </c>
      <c r="B13" s="3" t="s">
        <v>594</v>
      </c>
      <c r="C13" s="3" t="s">
        <v>595</v>
      </c>
      <c r="D13" s="4" t="s">
        <v>555</v>
      </c>
      <c r="E13" s="4" t="s">
        <v>596</v>
      </c>
      <c r="F13" s="4" t="s">
        <v>557</v>
      </c>
      <c r="G13" s="4" t="s">
        <v>6</v>
      </c>
      <c r="H13" s="4" t="s">
        <v>564</v>
      </c>
      <c r="I13" s="4"/>
      <c r="J13" s="4">
        <v>6</v>
      </c>
      <c r="K13" s="4">
        <v>4000</v>
      </c>
      <c r="L13" s="4" t="s">
        <v>559</v>
      </c>
      <c r="M13" s="12">
        <v>48255</v>
      </c>
      <c r="N13" s="4" t="s">
        <v>597</v>
      </c>
      <c r="O13" s="4" t="s">
        <v>598</v>
      </c>
      <c r="P13" s="4" t="s">
        <v>455</v>
      </c>
    </row>
    <row r="14" spans="1:16" ht="15">
      <c r="A14" s="3" t="s">
        <v>66</v>
      </c>
      <c r="B14" s="3" t="s">
        <v>599</v>
      </c>
      <c r="C14" s="3" t="s">
        <v>600</v>
      </c>
      <c r="D14" s="4" t="s">
        <v>555</v>
      </c>
      <c r="E14" s="4" t="s">
        <v>601</v>
      </c>
      <c r="F14" s="4" t="s">
        <v>602</v>
      </c>
      <c r="G14" s="4" t="s">
        <v>6</v>
      </c>
      <c r="H14" s="4" t="s">
        <v>564</v>
      </c>
      <c r="I14" s="4"/>
      <c r="J14" s="4">
        <v>1</v>
      </c>
      <c r="K14" s="4">
        <v>2000</v>
      </c>
      <c r="L14" s="4" t="s">
        <v>559</v>
      </c>
      <c r="M14" s="12">
        <v>66758</v>
      </c>
      <c r="N14" s="4" t="s">
        <v>603</v>
      </c>
      <c r="O14" s="4" t="s">
        <v>604</v>
      </c>
      <c r="P14" s="4" t="s">
        <v>455</v>
      </c>
    </row>
    <row r="15" spans="1:16" ht="30">
      <c r="A15" s="3" t="s">
        <v>66</v>
      </c>
      <c r="B15" s="3" t="s">
        <v>605</v>
      </c>
      <c r="C15" s="3" t="s">
        <v>606</v>
      </c>
      <c r="D15" s="4" t="s">
        <v>555</v>
      </c>
      <c r="E15" s="4" t="s">
        <v>69</v>
      </c>
      <c r="F15" s="4" t="s">
        <v>557</v>
      </c>
      <c r="G15" s="4" t="s">
        <v>12</v>
      </c>
      <c r="H15" s="4" t="s">
        <v>564</v>
      </c>
      <c r="I15" s="4"/>
      <c r="J15" s="4">
        <v>1</v>
      </c>
      <c r="K15" s="4"/>
      <c r="L15" s="4" t="s">
        <v>607</v>
      </c>
      <c r="M15" s="12">
        <v>28500</v>
      </c>
      <c r="N15" s="4" t="s">
        <v>608</v>
      </c>
      <c r="O15" s="4" t="s">
        <v>609</v>
      </c>
      <c r="P15" s="4" t="s">
        <v>455</v>
      </c>
    </row>
    <row r="16" spans="1:16" ht="30">
      <c r="A16" s="3" t="s">
        <v>66</v>
      </c>
      <c r="B16" s="3" t="s">
        <v>610</v>
      </c>
      <c r="C16" s="3" t="s">
        <v>611</v>
      </c>
      <c r="D16" s="4" t="s">
        <v>555</v>
      </c>
      <c r="E16" s="4" t="s">
        <v>572</v>
      </c>
      <c r="F16" s="4" t="s">
        <v>557</v>
      </c>
      <c r="G16" s="4" t="s">
        <v>6</v>
      </c>
      <c r="H16" s="4" t="s">
        <v>564</v>
      </c>
      <c r="I16" s="4">
        <v>2023</v>
      </c>
      <c r="J16" s="4">
        <v>24</v>
      </c>
      <c r="K16" s="4">
        <v>10000</v>
      </c>
      <c r="L16" s="4" t="s">
        <v>612</v>
      </c>
      <c r="M16" s="12">
        <v>33091</v>
      </c>
      <c r="N16" s="4" t="s">
        <v>613</v>
      </c>
      <c r="O16" s="4" t="s">
        <v>614</v>
      </c>
      <c r="P16" s="4" t="s">
        <v>455</v>
      </c>
    </row>
    <row r="17" spans="1:16" ht="30">
      <c r="A17" s="3" t="s">
        <v>66</v>
      </c>
      <c r="B17" s="3" t="s">
        <v>615</v>
      </c>
      <c r="C17" s="3" t="s">
        <v>611</v>
      </c>
      <c r="D17" s="4" t="s">
        <v>555</v>
      </c>
      <c r="E17" s="4" t="s">
        <v>572</v>
      </c>
      <c r="F17" s="4" t="s">
        <v>557</v>
      </c>
      <c r="G17" s="4" t="s">
        <v>6</v>
      </c>
      <c r="H17" s="4" t="s">
        <v>564</v>
      </c>
      <c r="I17" s="4"/>
      <c r="J17" s="4">
        <v>36</v>
      </c>
      <c r="K17" s="4">
        <v>10000</v>
      </c>
      <c r="L17" s="4" t="s">
        <v>612</v>
      </c>
      <c r="M17" s="12">
        <v>30326</v>
      </c>
      <c r="N17" s="4" t="s">
        <v>613</v>
      </c>
      <c r="O17" s="4" t="s">
        <v>614</v>
      </c>
      <c r="P17" s="4" t="s">
        <v>455</v>
      </c>
    </row>
    <row r="18" spans="1:16" ht="30">
      <c r="A18" s="3" t="s">
        <v>66</v>
      </c>
      <c r="B18" s="3" t="s">
        <v>616</v>
      </c>
      <c r="C18" s="3" t="s">
        <v>611</v>
      </c>
      <c r="D18" s="4" t="s">
        <v>555</v>
      </c>
      <c r="E18" s="4" t="s">
        <v>69</v>
      </c>
      <c r="F18" s="4" t="s">
        <v>557</v>
      </c>
      <c r="G18" s="4" t="s">
        <v>577</v>
      </c>
      <c r="H18" s="4" t="s">
        <v>577</v>
      </c>
      <c r="I18" s="4"/>
      <c r="J18" s="4"/>
      <c r="K18" s="4"/>
      <c r="L18" s="4" t="s">
        <v>565</v>
      </c>
      <c r="M18" s="12">
        <v>33000</v>
      </c>
      <c r="N18" s="4" t="s">
        <v>617</v>
      </c>
      <c r="O18" s="4" t="s">
        <v>614</v>
      </c>
      <c r="P18" s="4" t="s">
        <v>455</v>
      </c>
    </row>
    <row r="19" spans="1:16" ht="30">
      <c r="A19" s="3" t="s">
        <v>66</v>
      </c>
      <c r="B19" s="3" t="s">
        <v>618</v>
      </c>
      <c r="C19" s="3" t="s">
        <v>619</v>
      </c>
      <c r="D19" s="4" t="s">
        <v>555</v>
      </c>
      <c r="E19" s="4" t="s">
        <v>588</v>
      </c>
      <c r="F19" s="4" t="s">
        <v>557</v>
      </c>
      <c r="G19" s="4" t="s">
        <v>6</v>
      </c>
      <c r="H19" s="4" t="s">
        <v>564</v>
      </c>
      <c r="I19" s="4"/>
      <c r="J19" s="4">
        <v>1</v>
      </c>
      <c r="K19" s="4">
        <v>3000</v>
      </c>
      <c r="L19" s="4" t="s">
        <v>559</v>
      </c>
      <c r="M19" s="12">
        <v>44750</v>
      </c>
      <c r="N19" s="4" t="s">
        <v>620</v>
      </c>
      <c r="O19" s="4" t="s">
        <v>621</v>
      </c>
      <c r="P19" s="4" t="s">
        <v>455</v>
      </c>
    </row>
    <row r="20" spans="1:16" ht="30">
      <c r="A20" s="3" t="s">
        <v>83</v>
      </c>
      <c r="B20" s="3" t="s">
        <v>622</v>
      </c>
      <c r="C20" s="3" t="s">
        <v>562</v>
      </c>
      <c r="D20" s="4" t="s">
        <v>623</v>
      </c>
      <c r="E20" s="4" t="s">
        <v>624</v>
      </c>
      <c r="F20" s="4" t="s">
        <v>557</v>
      </c>
      <c r="G20" s="4" t="s">
        <v>6</v>
      </c>
      <c r="H20" s="4" t="s">
        <v>564</v>
      </c>
      <c r="I20" s="4">
        <v>2026</v>
      </c>
      <c r="J20" s="4"/>
      <c r="K20" s="4"/>
      <c r="L20" s="4" t="s">
        <v>565</v>
      </c>
      <c r="M20" s="12">
        <v>39500</v>
      </c>
      <c r="N20" s="4" t="s">
        <v>566</v>
      </c>
      <c r="O20" s="4" t="s">
        <v>93</v>
      </c>
      <c r="P20" s="4" t="s">
        <v>455</v>
      </c>
    </row>
    <row r="21" spans="1:16" ht="30">
      <c r="A21" s="3" t="s">
        <v>83</v>
      </c>
      <c r="B21" s="3" t="s">
        <v>625</v>
      </c>
      <c r="C21" s="3" t="s">
        <v>568</v>
      </c>
      <c r="D21" s="4" t="s">
        <v>623</v>
      </c>
      <c r="E21" s="4" t="s">
        <v>85</v>
      </c>
      <c r="F21" s="4" t="s">
        <v>557</v>
      </c>
      <c r="G21" s="4" t="s">
        <v>6</v>
      </c>
      <c r="H21" s="4" t="s">
        <v>564</v>
      </c>
      <c r="I21" s="4"/>
      <c r="J21" s="4">
        <v>12</v>
      </c>
      <c r="K21" s="4">
        <v>30000</v>
      </c>
      <c r="L21" s="4" t="s">
        <v>569</v>
      </c>
      <c r="M21" s="12">
        <v>37900</v>
      </c>
      <c r="N21" s="4" t="s">
        <v>570</v>
      </c>
      <c r="O21" s="4" t="s">
        <v>108</v>
      </c>
      <c r="P21" s="4" t="s">
        <v>455</v>
      </c>
    </row>
    <row r="22" spans="1:16" ht="30">
      <c r="A22" s="3" t="s">
        <v>83</v>
      </c>
      <c r="B22" s="3" t="s">
        <v>626</v>
      </c>
      <c r="C22" s="3" t="s">
        <v>568</v>
      </c>
      <c r="D22" s="4" t="s">
        <v>623</v>
      </c>
      <c r="E22" s="4" t="s">
        <v>85</v>
      </c>
      <c r="F22" s="4" t="s">
        <v>557</v>
      </c>
      <c r="G22" s="4" t="s">
        <v>6</v>
      </c>
      <c r="H22" s="4" t="s">
        <v>564</v>
      </c>
      <c r="I22" s="4"/>
      <c r="J22" s="4">
        <v>36</v>
      </c>
      <c r="K22" s="4">
        <v>10000</v>
      </c>
      <c r="L22" s="4" t="s">
        <v>627</v>
      </c>
      <c r="M22" s="12">
        <v>37900</v>
      </c>
      <c r="N22" s="4" t="s">
        <v>570</v>
      </c>
      <c r="O22" s="4" t="s">
        <v>108</v>
      </c>
      <c r="P22" s="4" t="s">
        <v>455</v>
      </c>
    </row>
    <row r="23" spans="1:16" ht="30">
      <c r="A23" s="3" t="s">
        <v>83</v>
      </c>
      <c r="B23" s="3" t="s">
        <v>628</v>
      </c>
      <c r="C23" s="3" t="s">
        <v>535</v>
      </c>
      <c r="D23" s="4" t="s">
        <v>623</v>
      </c>
      <c r="E23" s="4" t="s">
        <v>629</v>
      </c>
      <c r="F23" s="4" t="s">
        <v>557</v>
      </c>
      <c r="G23" s="4" t="s">
        <v>6</v>
      </c>
      <c r="H23" s="4" t="s">
        <v>630</v>
      </c>
      <c r="I23" s="4"/>
      <c r="J23" s="4"/>
      <c r="K23" s="4"/>
      <c r="L23" s="4" t="s">
        <v>565</v>
      </c>
      <c r="M23" s="12">
        <v>43501</v>
      </c>
      <c r="N23" s="4" t="s">
        <v>573</v>
      </c>
      <c r="O23" s="4" t="s">
        <v>295</v>
      </c>
      <c r="P23" s="4" t="s">
        <v>455</v>
      </c>
    </row>
    <row r="24" spans="1:16" ht="30">
      <c r="A24" s="3" t="s">
        <v>83</v>
      </c>
      <c r="B24" s="3" t="s">
        <v>631</v>
      </c>
      <c r="C24" s="3" t="s">
        <v>468</v>
      </c>
      <c r="D24" s="4" t="s">
        <v>623</v>
      </c>
      <c r="E24" s="4" t="s">
        <v>85</v>
      </c>
      <c r="F24" s="4" t="s">
        <v>557</v>
      </c>
      <c r="G24" s="4" t="s">
        <v>577</v>
      </c>
      <c r="H24" s="4" t="s">
        <v>577</v>
      </c>
      <c r="I24" s="4"/>
      <c r="J24" s="4">
        <v>1</v>
      </c>
      <c r="K24" s="4"/>
      <c r="L24" s="4" t="s">
        <v>592</v>
      </c>
      <c r="M24" s="12">
        <v>39000</v>
      </c>
      <c r="N24" s="4" t="s">
        <v>593</v>
      </c>
      <c r="O24" s="4" t="s">
        <v>133</v>
      </c>
      <c r="P24" s="4" t="s">
        <v>455</v>
      </c>
    </row>
    <row r="25" spans="1:16" ht="30">
      <c r="A25" s="3" t="s">
        <v>83</v>
      </c>
      <c r="B25" s="3" t="s">
        <v>632</v>
      </c>
      <c r="C25" s="3" t="s">
        <v>606</v>
      </c>
      <c r="D25" s="4" t="s">
        <v>623</v>
      </c>
      <c r="E25" s="4" t="s">
        <v>85</v>
      </c>
      <c r="F25" s="4" t="s">
        <v>557</v>
      </c>
      <c r="G25" s="4" t="s">
        <v>12</v>
      </c>
      <c r="H25" s="4" t="s">
        <v>564</v>
      </c>
      <c r="I25" s="4"/>
      <c r="J25" s="4">
        <v>1</v>
      </c>
      <c r="K25" s="4"/>
      <c r="L25" s="4" t="s">
        <v>607</v>
      </c>
      <c r="M25" s="12">
        <v>28500</v>
      </c>
      <c r="N25" s="4" t="s">
        <v>608</v>
      </c>
      <c r="O25" s="4" t="s">
        <v>609</v>
      </c>
      <c r="P25" s="4" t="s">
        <v>455</v>
      </c>
    </row>
    <row r="26" spans="1:16" ht="30">
      <c r="A26" s="3" t="s">
        <v>83</v>
      </c>
      <c r="B26" s="3" t="s">
        <v>633</v>
      </c>
      <c r="C26" s="3" t="s">
        <v>611</v>
      </c>
      <c r="D26" s="4" t="s">
        <v>623</v>
      </c>
      <c r="E26" s="4" t="s">
        <v>634</v>
      </c>
      <c r="F26" s="4" t="s">
        <v>557</v>
      </c>
      <c r="G26" s="4" t="s">
        <v>6</v>
      </c>
      <c r="H26" s="4" t="s">
        <v>564</v>
      </c>
      <c r="I26" s="4">
        <v>2023</v>
      </c>
      <c r="J26" s="4">
        <v>24</v>
      </c>
      <c r="K26" s="4">
        <v>10000</v>
      </c>
      <c r="L26" s="4" t="s">
        <v>612</v>
      </c>
      <c r="M26" s="12">
        <v>32600</v>
      </c>
      <c r="N26" s="4" t="s">
        <v>613</v>
      </c>
      <c r="O26" s="4" t="s">
        <v>614</v>
      </c>
      <c r="P26" s="4" t="s">
        <v>455</v>
      </c>
    </row>
    <row r="27" spans="1:16" ht="30">
      <c r="A27" s="3" t="s">
        <v>96</v>
      </c>
      <c r="B27" s="3" t="s">
        <v>635</v>
      </c>
      <c r="C27" s="3" t="s">
        <v>568</v>
      </c>
      <c r="D27" s="4" t="s">
        <v>636</v>
      </c>
      <c r="E27" s="4" t="s">
        <v>637</v>
      </c>
      <c r="F27" s="4" t="s">
        <v>557</v>
      </c>
      <c r="G27" s="4" t="s">
        <v>638</v>
      </c>
      <c r="H27" s="4" t="s">
        <v>564</v>
      </c>
      <c r="I27" s="4"/>
      <c r="J27" s="4">
        <v>24</v>
      </c>
      <c r="K27" s="4">
        <v>10000</v>
      </c>
      <c r="L27" s="4" t="s">
        <v>627</v>
      </c>
      <c r="M27" s="12">
        <v>41900</v>
      </c>
      <c r="N27" s="4" t="s">
        <v>570</v>
      </c>
      <c r="O27" s="4" t="s">
        <v>108</v>
      </c>
      <c r="P27" s="4" t="s">
        <v>455</v>
      </c>
    </row>
    <row r="28" spans="1:16" ht="30">
      <c r="A28" s="3" t="s">
        <v>96</v>
      </c>
      <c r="B28" s="3" t="s">
        <v>639</v>
      </c>
      <c r="C28" s="3" t="s">
        <v>535</v>
      </c>
      <c r="D28" s="4" t="s">
        <v>636</v>
      </c>
      <c r="E28" s="4" t="s">
        <v>640</v>
      </c>
      <c r="F28" s="4" t="s">
        <v>557</v>
      </c>
      <c r="G28" s="4" t="s">
        <v>638</v>
      </c>
      <c r="H28" s="4" t="s">
        <v>630</v>
      </c>
      <c r="I28" s="4"/>
      <c r="J28" s="4"/>
      <c r="K28" s="4"/>
      <c r="L28" s="4" t="s">
        <v>565</v>
      </c>
      <c r="M28" s="12">
        <v>52214</v>
      </c>
      <c r="N28" s="4" t="s">
        <v>573</v>
      </c>
      <c r="O28" s="4" t="s">
        <v>295</v>
      </c>
      <c r="P28" s="4" t="s">
        <v>455</v>
      </c>
    </row>
    <row r="29" spans="1:16" ht="30">
      <c r="A29" s="3" t="s">
        <v>96</v>
      </c>
      <c r="B29" s="3" t="s">
        <v>641</v>
      </c>
      <c r="C29" s="3" t="s">
        <v>642</v>
      </c>
      <c r="D29" s="4" t="s">
        <v>636</v>
      </c>
      <c r="E29" s="4" t="s">
        <v>643</v>
      </c>
      <c r="F29" s="4" t="s">
        <v>557</v>
      </c>
      <c r="G29" s="4" t="s">
        <v>638</v>
      </c>
      <c r="H29" s="4" t="s">
        <v>564</v>
      </c>
      <c r="I29" s="4"/>
      <c r="J29" s="4"/>
      <c r="K29" s="4"/>
      <c r="L29" s="4" t="s">
        <v>565</v>
      </c>
      <c r="M29" s="12">
        <v>40215</v>
      </c>
      <c r="N29" s="4" t="s">
        <v>644</v>
      </c>
      <c r="O29" s="4" t="s">
        <v>645</v>
      </c>
      <c r="P29" s="4" t="s">
        <v>455</v>
      </c>
    </row>
    <row r="30" spans="1:16" ht="30">
      <c r="A30" s="3" t="s">
        <v>110</v>
      </c>
      <c r="B30" s="3" t="s">
        <v>646</v>
      </c>
      <c r="C30" s="3" t="s">
        <v>541</v>
      </c>
      <c r="D30" s="4" t="s">
        <v>647</v>
      </c>
      <c r="E30" s="4" t="s">
        <v>648</v>
      </c>
      <c r="F30" s="4" t="s">
        <v>649</v>
      </c>
      <c r="G30" s="4" t="s">
        <v>6</v>
      </c>
      <c r="H30" s="4" t="s">
        <v>558</v>
      </c>
      <c r="I30" s="4"/>
      <c r="J30" s="4"/>
      <c r="K30" s="4">
        <v>4000</v>
      </c>
      <c r="L30" s="4" t="s">
        <v>559</v>
      </c>
      <c r="M30" s="12">
        <v>31666</v>
      </c>
      <c r="N30" s="4" t="s">
        <v>560</v>
      </c>
      <c r="O30" s="4" t="s">
        <v>80</v>
      </c>
      <c r="P30" s="4" t="s">
        <v>455</v>
      </c>
    </row>
    <row r="31" spans="1:16" ht="30">
      <c r="A31" s="3" t="s">
        <v>110</v>
      </c>
      <c r="B31" s="3" t="s">
        <v>650</v>
      </c>
      <c r="C31" s="3" t="s">
        <v>651</v>
      </c>
      <c r="D31" s="4" t="s">
        <v>647</v>
      </c>
      <c r="E31" s="4" t="s">
        <v>652</v>
      </c>
      <c r="F31" s="4" t="s">
        <v>649</v>
      </c>
      <c r="G31" s="4" t="s">
        <v>12</v>
      </c>
      <c r="H31" s="4" t="s">
        <v>558</v>
      </c>
      <c r="I31" s="4"/>
      <c r="J31" s="4"/>
      <c r="K31" s="4"/>
      <c r="L31" s="4" t="s">
        <v>565</v>
      </c>
      <c r="M31" s="12">
        <v>49120</v>
      </c>
      <c r="N31" s="4" t="s">
        <v>653</v>
      </c>
      <c r="O31" s="4" t="s">
        <v>275</v>
      </c>
      <c r="P31" s="4" t="s">
        <v>455</v>
      </c>
    </row>
    <row r="32" spans="1:16" ht="30">
      <c r="A32" s="3" t="s">
        <v>110</v>
      </c>
      <c r="B32" s="3" t="s">
        <v>654</v>
      </c>
      <c r="C32" s="3" t="s">
        <v>535</v>
      </c>
      <c r="D32" s="4" t="s">
        <v>647</v>
      </c>
      <c r="E32" s="4" t="s">
        <v>655</v>
      </c>
      <c r="F32" s="4" t="s">
        <v>649</v>
      </c>
      <c r="G32" s="4" t="s">
        <v>12</v>
      </c>
      <c r="H32" s="4" t="s">
        <v>630</v>
      </c>
      <c r="I32" s="4"/>
      <c r="J32" s="4"/>
      <c r="K32" s="4"/>
      <c r="L32" s="4" t="s">
        <v>565</v>
      </c>
      <c r="M32" s="12">
        <v>55502</v>
      </c>
      <c r="N32" s="4" t="s">
        <v>573</v>
      </c>
      <c r="O32" s="4" t="s">
        <v>295</v>
      </c>
      <c r="P32" s="4" t="s">
        <v>455</v>
      </c>
    </row>
    <row r="33" spans="1:16" ht="30">
      <c r="A33" s="3" t="s">
        <v>110</v>
      </c>
      <c r="B33" s="3" t="s">
        <v>656</v>
      </c>
      <c r="C33" s="3" t="s">
        <v>575</v>
      </c>
      <c r="D33" s="4" t="s">
        <v>647</v>
      </c>
      <c r="E33" s="4" t="s">
        <v>657</v>
      </c>
      <c r="F33" s="4" t="s">
        <v>649</v>
      </c>
      <c r="G33" s="4" t="s">
        <v>577</v>
      </c>
      <c r="H33" s="4" t="s">
        <v>577</v>
      </c>
      <c r="I33" s="4"/>
      <c r="J33" s="4">
        <v>1</v>
      </c>
      <c r="K33" s="4"/>
      <c r="L33" s="4" t="s">
        <v>565</v>
      </c>
      <c r="M33" s="12">
        <v>32000</v>
      </c>
      <c r="N33" s="4" t="s">
        <v>578</v>
      </c>
      <c r="O33" s="4" t="s">
        <v>579</v>
      </c>
      <c r="P33" s="4" t="s">
        <v>455</v>
      </c>
    </row>
    <row r="34" spans="1:16" ht="30">
      <c r="A34" s="3" t="s">
        <v>110</v>
      </c>
      <c r="B34" s="3" t="s">
        <v>658</v>
      </c>
      <c r="C34" s="3" t="s">
        <v>468</v>
      </c>
      <c r="D34" s="4" t="s">
        <v>647</v>
      </c>
      <c r="E34" s="4" t="s">
        <v>659</v>
      </c>
      <c r="F34" s="4" t="s">
        <v>649</v>
      </c>
      <c r="G34" s="4" t="s">
        <v>577</v>
      </c>
      <c r="H34" s="4" t="s">
        <v>577</v>
      </c>
      <c r="I34" s="4"/>
      <c r="J34" s="4">
        <v>1</v>
      </c>
      <c r="K34" s="4"/>
      <c r="L34" s="4" t="s">
        <v>592</v>
      </c>
      <c r="M34" s="12">
        <v>39000</v>
      </c>
      <c r="N34" s="4" t="s">
        <v>593</v>
      </c>
      <c r="O34" s="4" t="s">
        <v>133</v>
      </c>
      <c r="P34" s="4" t="s">
        <v>455</v>
      </c>
    </row>
    <row r="35" spans="1:16" ht="15">
      <c r="A35" s="3" t="s">
        <v>110</v>
      </c>
      <c r="B35" s="3" t="s">
        <v>660</v>
      </c>
      <c r="C35" s="3" t="s">
        <v>600</v>
      </c>
      <c r="D35" s="4" t="s">
        <v>647</v>
      </c>
      <c r="E35" s="4" t="s">
        <v>112</v>
      </c>
      <c r="F35" s="4" t="s">
        <v>649</v>
      </c>
      <c r="G35" s="4" t="s">
        <v>6</v>
      </c>
      <c r="H35" s="4" t="s">
        <v>558</v>
      </c>
      <c r="I35" s="4"/>
      <c r="J35" s="4">
        <v>1</v>
      </c>
      <c r="K35" s="4">
        <v>2000</v>
      </c>
      <c r="L35" s="4" t="s">
        <v>559</v>
      </c>
      <c r="M35" s="12">
        <v>62401</v>
      </c>
      <c r="N35" s="4" t="s">
        <v>603</v>
      </c>
      <c r="O35" s="4" t="s">
        <v>604</v>
      </c>
      <c r="P35" s="4" t="s">
        <v>455</v>
      </c>
    </row>
    <row r="36" spans="1:16" ht="15">
      <c r="A36" s="3" t="s">
        <v>110</v>
      </c>
      <c r="B36" s="3" t="s">
        <v>661</v>
      </c>
      <c r="C36" s="3" t="s">
        <v>600</v>
      </c>
      <c r="D36" s="4" t="s">
        <v>647</v>
      </c>
      <c r="E36" s="4" t="s">
        <v>112</v>
      </c>
      <c r="F36" s="4" t="s">
        <v>649</v>
      </c>
      <c r="G36" s="4" t="s">
        <v>12</v>
      </c>
      <c r="H36" s="4" t="s">
        <v>564</v>
      </c>
      <c r="I36" s="4"/>
      <c r="J36" s="4">
        <v>1</v>
      </c>
      <c r="K36" s="4">
        <v>2000</v>
      </c>
      <c r="L36" s="4" t="s">
        <v>559</v>
      </c>
      <c r="M36" s="12">
        <v>94629</v>
      </c>
      <c r="N36" s="4" t="s">
        <v>603</v>
      </c>
      <c r="O36" s="4" t="s">
        <v>604</v>
      </c>
      <c r="P36" s="4" t="s">
        <v>455</v>
      </c>
    </row>
    <row r="37" spans="1:16" ht="30">
      <c r="A37" s="3" t="s">
        <v>110</v>
      </c>
      <c r="B37" s="3" t="s">
        <v>662</v>
      </c>
      <c r="C37" s="3" t="s">
        <v>606</v>
      </c>
      <c r="D37" s="4" t="s">
        <v>647</v>
      </c>
      <c r="E37" s="4" t="s">
        <v>648</v>
      </c>
      <c r="F37" s="4" t="s">
        <v>649</v>
      </c>
      <c r="G37" s="4" t="s">
        <v>12</v>
      </c>
      <c r="H37" s="4" t="s">
        <v>564</v>
      </c>
      <c r="I37" s="4"/>
      <c r="J37" s="4">
        <v>1</v>
      </c>
      <c r="K37" s="4"/>
      <c r="L37" s="4" t="s">
        <v>607</v>
      </c>
      <c r="M37" s="12">
        <v>34000</v>
      </c>
      <c r="N37" s="4" t="s">
        <v>608</v>
      </c>
      <c r="O37" s="4" t="s">
        <v>609</v>
      </c>
      <c r="P37" s="4" t="s">
        <v>455</v>
      </c>
    </row>
    <row r="38" spans="1:16" ht="30">
      <c r="A38" s="3" t="s">
        <v>110</v>
      </c>
      <c r="B38" s="3" t="s">
        <v>663</v>
      </c>
      <c r="C38" s="3" t="s">
        <v>619</v>
      </c>
      <c r="D38" s="4" t="s">
        <v>647</v>
      </c>
      <c r="E38" s="4" t="s">
        <v>648</v>
      </c>
      <c r="F38" s="4" t="s">
        <v>649</v>
      </c>
      <c r="G38" s="4" t="s">
        <v>6</v>
      </c>
      <c r="H38" s="4" t="s">
        <v>558</v>
      </c>
      <c r="I38" s="4"/>
      <c r="J38" s="4">
        <v>1</v>
      </c>
      <c r="K38" s="4">
        <v>3000</v>
      </c>
      <c r="L38" s="4" t="s">
        <v>559</v>
      </c>
      <c r="M38" s="12">
        <v>38250</v>
      </c>
      <c r="N38" s="4" t="s">
        <v>620</v>
      </c>
      <c r="O38" s="4" t="s">
        <v>621</v>
      </c>
      <c r="P38" s="4" t="s">
        <v>455</v>
      </c>
    </row>
    <row r="39" spans="1:16" ht="30">
      <c r="A39" s="3" t="s">
        <v>122</v>
      </c>
      <c r="B39" s="3" t="s">
        <v>664</v>
      </c>
      <c r="C39" s="3" t="s">
        <v>468</v>
      </c>
      <c r="D39" s="4" t="s">
        <v>665</v>
      </c>
      <c r="E39" s="4" t="s">
        <v>124</v>
      </c>
      <c r="F39" s="4" t="s">
        <v>126</v>
      </c>
      <c r="G39" s="4" t="s">
        <v>577</v>
      </c>
      <c r="H39" s="4" t="s">
        <v>577</v>
      </c>
      <c r="I39" s="4"/>
      <c r="J39" s="4">
        <v>1</v>
      </c>
      <c r="K39" s="4"/>
      <c r="L39" s="4" t="s">
        <v>592</v>
      </c>
      <c r="M39" s="12">
        <v>49000</v>
      </c>
      <c r="N39" s="4" t="s">
        <v>593</v>
      </c>
      <c r="O39" s="4" t="s">
        <v>133</v>
      </c>
      <c r="P39" s="4" t="s">
        <v>455</v>
      </c>
    </row>
    <row r="40" spans="1:16" ht="30">
      <c r="A40" s="3" t="s">
        <v>135</v>
      </c>
      <c r="B40" s="3" t="s">
        <v>666</v>
      </c>
      <c r="C40" s="3" t="s">
        <v>562</v>
      </c>
      <c r="D40" s="4" t="s">
        <v>667</v>
      </c>
      <c r="E40" s="4" t="s">
        <v>668</v>
      </c>
      <c r="F40" s="4" t="s">
        <v>649</v>
      </c>
      <c r="G40" s="4" t="s">
        <v>6</v>
      </c>
      <c r="H40" s="4" t="s">
        <v>564</v>
      </c>
      <c r="I40" s="4">
        <v>2026</v>
      </c>
      <c r="J40" s="4"/>
      <c r="K40" s="4"/>
      <c r="L40" s="4" t="s">
        <v>565</v>
      </c>
      <c r="M40" s="12">
        <v>52900</v>
      </c>
      <c r="N40" s="4" t="s">
        <v>566</v>
      </c>
      <c r="O40" s="4" t="s">
        <v>93</v>
      </c>
      <c r="P40" s="4" t="s">
        <v>455</v>
      </c>
    </row>
    <row r="41" spans="1:16" ht="30">
      <c r="A41" s="3" t="s">
        <v>135</v>
      </c>
      <c r="B41" s="3" t="s">
        <v>669</v>
      </c>
      <c r="C41" s="3" t="s">
        <v>651</v>
      </c>
      <c r="D41" s="4" t="s">
        <v>667</v>
      </c>
      <c r="E41" s="4" t="s">
        <v>670</v>
      </c>
      <c r="F41" s="4" t="s">
        <v>649</v>
      </c>
      <c r="G41" s="4" t="s">
        <v>6</v>
      </c>
      <c r="H41" s="4" t="s">
        <v>564</v>
      </c>
      <c r="I41" s="4"/>
      <c r="J41" s="4"/>
      <c r="K41" s="4"/>
      <c r="L41" s="4" t="s">
        <v>565</v>
      </c>
      <c r="M41" s="12">
        <v>44200</v>
      </c>
      <c r="N41" s="4" t="s">
        <v>653</v>
      </c>
      <c r="O41" s="4" t="s">
        <v>275</v>
      </c>
      <c r="P41" s="4" t="s">
        <v>455</v>
      </c>
    </row>
    <row r="42" spans="1:16" ht="30">
      <c r="A42" s="3" t="s">
        <v>146</v>
      </c>
      <c r="B42" s="3" t="s">
        <v>671</v>
      </c>
      <c r="C42" s="3" t="s">
        <v>562</v>
      </c>
      <c r="D42" s="4" t="s">
        <v>667</v>
      </c>
      <c r="E42" s="4" t="s">
        <v>672</v>
      </c>
      <c r="F42" s="4" t="s">
        <v>649</v>
      </c>
      <c r="G42" s="4" t="s">
        <v>638</v>
      </c>
      <c r="H42" s="4" t="s">
        <v>564</v>
      </c>
      <c r="I42" s="4">
        <v>2026</v>
      </c>
      <c r="J42" s="4"/>
      <c r="K42" s="4"/>
      <c r="L42" s="4" t="s">
        <v>565</v>
      </c>
      <c r="M42" s="12">
        <v>59900</v>
      </c>
      <c r="N42" s="4" t="s">
        <v>566</v>
      </c>
      <c r="O42" s="4" t="s">
        <v>93</v>
      </c>
      <c r="P42" s="4" t="s">
        <v>455</v>
      </c>
    </row>
    <row r="43" spans="1:16" ht="30">
      <c r="A43" s="3" t="s">
        <v>146</v>
      </c>
      <c r="B43" s="3" t="s">
        <v>673</v>
      </c>
      <c r="C43" s="3" t="s">
        <v>651</v>
      </c>
      <c r="D43" s="4" t="s">
        <v>667</v>
      </c>
      <c r="E43" s="4" t="s">
        <v>674</v>
      </c>
      <c r="F43" s="4" t="s">
        <v>649</v>
      </c>
      <c r="G43" s="4" t="s">
        <v>638</v>
      </c>
      <c r="H43" s="4" t="s">
        <v>564</v>
      </c>
      <c r="I43" s="4"/>
      <c r="J43" s="4"/>
      <c r="K43" s="4"/>
      <c r="L43" s="4" t="s">
        <v>565</v>
      </c>
      <c r="M43" s="12">
        <v>69875</v>
      </c>
      <c r="N43" s="4" t="s">
        <v>653</v>
      </c>
      <c r="O43" s="4" t="s">
        <v>275</v>
      </c>
      <c r="P43" s="4" t="s">
        <v>455</v>
      </c>
    </row>
    <row r="44" spans="1:16" ht="30">
      <c r="A44" s="3" t="s">
        <v>146</v>
      </c>
      <c r="B44" s="3" t="s">
        <v>675</v>
      </c>
      <c r="C44" s="3" t="s">
        <v>535</v>
      </c>
      <c r="D44" s="4" t="s">
        <v>667</v>
      </c>
      <c r="E44" s="4" t="s">
        <v>676</v>
      </c>
      <c r="F44" s="4" t="s">
        <v>649</v>
      </c>
      <c r="G44" s="4" t="s">
        <v>638</v>
      </c>
      <c r="H44" s="4" t="s">
        <v>564</v>
      </c>
      <c r="I44" s="4"/>
      <c r="J44" s="4"/>
      <c r="K44" s="4"/>
      <c r="L44" s="4" t="s">
        <v>565</v>
      </c>
      <c r="M44" s="12">
        <v>68501</v>
      </c>
      <c r="N44" s="4" t="s">
        <v>573</v>
      </c>
      <c r="O44" s="4" t="s">
        <v>295</v>
      </c>
      <c r="P44" s="4" t="s">
        <v>455</v>
      </c>
    </row>
    <row r="45" spans="1:16" ht="30">
      <c r="A45" s="3" t="s">
        <v>146</v>
      </c>
      <c r="B45" s="3" t="s">
        <v>677</v>
      </c>
      <c r="C45" s="3" t="s">
        <v>642</v>
      </c>
      <c r="D45" s="4" t="s">
        <v>667</v>
      </c>
      <c r="E45" s="4" t="s">
        <v>678</v>
      </c>
      <c r="F45" s="4" t="s">
        <v>649</v>
      </c>
      <c r="G45" s="4" t="s">
        <v>638</v>
      </c>
      <c r="H45" s="4" t="s">
        <v>564</v>
      </c>
      <c r="I45" s="4"/>
      <c r="J45" s="4"/>
      <c r="K45" s="4"/>
      <c r="L45" s="4" t="s">
        <v>565</v>
      </c>
      <c r="M45" s="12">
        <v>60000</v>
      </c>
      <c r="N45" s="4" t="s">
        <v>644</v>
      </c>
      <c r="O45" s="4" t="s">
        <v>645</v>
      </c>
      <c r="P45" s="4" t="s">
        <v>455</v>
      </c>
    </row>
    <row r="46" spans="1:16" ht="30">
      <c r="A46" s="3" t="s">
        <v>146</v>
      </c>
      <c r="B46" s="3" t="s">
        <v>679</v>
      </c>
      <c r="C46" s="3" t="s">
        <v>581</v>
      </c>
      <c r="D46" s="4" t="s">
        <v>667</v>
      </c>
      <c r="E46" s="4" t="s">
        <v>680</v>
      </c>
      <c r="F46" s="4" t="s">
        <v>649</v>
      </c>
      <c r="G46" s="4" t="s">
        <v>638</v>
      </c>
      <c r="H46" s="4" t="s">
        <v>564</v>
      </c>
      <c r="I46" s="4">
        <v>2026</v>
      </c>
      <c r="J46" s="4">
        <v>24</v>
      </c>
      <c r="K46" s="4">
        <v>10000</v>
      </c>
      <c r="L46" s="4" t="s">
        <v>583</v>
      </c>
      <c r="M46" s="12">
        <v>52650</v>
      </c>
      <c r="N46" s="4" t="s">
        <v>584</v>
      </c>
      <c r="O46" s="4" t="s">
        <v>585</v>
      </c>
      <c r="P46" s="4" t="s">
        <v>455</v>
      </c>
    </row>
    <row r="47" spans="1:16" ht="15">
      <c r="A47" s="3" t="s">
        <v>146</v>
      </c>
      <c r="B47" s="3" t="s">
        <v>681</v>
      </c>
      <c r="C47" s="3" t="s">
        <v>587</v>
      </c>
      <c r="D47" s="4" t="s">
        <v>667</v>
      </c>
      <c r="E47" s="4" t="s">
        <v>682</v>
      </c>
      <c r="F47" s="4" t="s">
        <v>649</v>
      </c>
      <c r="G47" s="4" t="s">
        <v>638</v>
      </c>
      <c r="H47" s="4" t="s">
        <v>564</v>
      </c>
      <c r="I47" s="4"/>
      <c r="J47" s="4"/>
      <c r="K47" s="4"/>
      <c r="L47" s="4" t="s">
        <v>565</v>
      </c>
      <c r="M47" s="12">
        <v>65000</v>
      </c>
      <c r="N47" s="4" t="s">
        <v>589</v>
      </c>
      <c r="O47" s="4" t="s">
        <v>590</v>
      </c>
      <c r="P47" s="4" t="s">
        <v>455</v>
      </c>
    </row>
    <row r="48" spans="1:16" ht="30">
      <c r="A48" s="3" t="s">
        <v>155</v>
      </c>
      <c r="B48" s="3" t="s">
        <v>683</v>
      </c>
      <c r="C48" s="3" t="s">
        <v>562</v>
      </c>
      <c r="D48" s="4" t="s">
        <v>555</v>
      </c>
      <c r="E48" s="4" t="s">
        <v>684</v>
      </c>
      <c r="F48" s="4" t="s">
        <v>649</v>
      </c>
      <c r="G48" s="4" t="s">
        <v>6</v>
      </c>
      <c r="H48" s="4" t="s">
        <v>564</v>
      </c>
      <c r="I48" s="4">
        <v>2026</v>
      </c>
      <c r="J48" s="4"/>
      <c r="K48" s="4"/>
      <c r="L48" s="4" t="s">
        <v>565</v>
      </c>
      <c r="M48" s="12">
        <v>53500</v>
      </c>
      <c r="N48" s="4" t="s">
        <v>566</v>
      </c>
      <c r="O48" s="4" t="s">
        <v>93</v>
      </c>
      <c r="P48" s="4" t="s">
        <v>455</v>
      </c>
    </row>
    <row r="49" spans="1:16" ht="30">
      <c r="A49" s="3" t="s">
        <v>155</v>
      </c>
      <c r="B49" s="3" t="s">
        <v>685</v>
      </c>
      <c r="C49" s="3" t="s">
        <v>535</v>
      </c>
      <c r="D49" s="4" t="s">
        <v>555</v>
      </c>
      <c r="E49" s="4" t="s">
        <v>686</v>
      </c>
      <c r="F49" s="4" t="s">
        <v>649</v>
      </c>
      <c r="G49" s="4" t="s">
        <v>6</v>
      </c>
      <c r="H49" s="4" t="s">
        <v>630</v>
      </c>
      <c r="I49" s="4"/>
      <c r="J49" s="4"/>
      <c r="K49" s="4"/>
      <c r="L49" s="4" t="s">
        <v>565</v>
      </c>
      <c r="M49" s="12">
        <v>60304</v>
      </c>
      <c r="N49" s="4" t="s">
        <v>573</v>
      </c>
      <c r="O49" s="4" t="s">
        <v>295</v>
      </c>
      <c r="P49" s="4" t="s">
        <v>455</v>
      </c>
    </row>
    <row r="50" spans="1:16" ht="30">
      <c r="A50" s="3" t="s">
        <v>155</v>
      </c>
      <c r="B50" s="3" t="s">
        <v>687</v>
      </c>
      <c r="C50" s="3" t="s">
        <v>642</v>
      </c>
      <c r="D50" s="4" t="s">
        <v>555</v>
      </c>
      <c r="E50" s="4" t="s">
        <v>688</v>
      </c>
      <c r="F50" s="4" t="s">
        <v>649</v>
      </c>
      <c r="G50" s="4" t="s">
        <v>6</v>
      </c>
      <c r="H50" s="4" t="s">
        <v>564</v>
      </c>
      <c r="I50" s="4"/>
      <c r="J50" s="4"/>
      <c r="K50" s="4"/>
      <c r="L50" s="4" t="s">
        <v>565</v>
      </c>
      <c r="M50" s="12">
        <v>53770</v>
      </c>
      <c r="N50" s="4" t="s">
        <v>644</v>
      </c>
      <c r="O50" s="4" t="s">
        <v>645</v>
      </c>
      <c r="P50" s="4" t="s">
        <v>455</v>
      </c>
    </row>
    <row r="51" spans="1:16" ht="30">
      <c r="A51" s="3" t="s">
        <v>155</v>
      </c>
      <c r="B51" s="3" t="s">
        <v>689</v>
      </c>
      <c r="C51" s="3" t="s">
        <v>581</v>
      </c>
      <c r="D51" s="4" t="s">
        <v>555</v>
      </c>
      <c r="E51" s="4" t="s">
        <v>690</v>
      </c>
      <c r="F51" s="4" t="s">
        <v>649</v>
      </c>
      <c r="G51" s="4" t="s">
        <v>6</v>
      </c>
      <c r="H51" s="4" t="s">
        <v>564</v>
      </c>
      <c r="I51" s="4">
        <v>2026</v>
      </c>
      <c r="J51" s="4">
        <v>24</v>
      </c>
      <c r="K51" s="4">
        <v>10000</v>
      </c>
      <c r="L51" s="4" t="s">
        <v>583</v>
      </c>
      <c r="M51" s="12">
        <v>50400</v>
      </c>
      <c r="N51" s="4" t="s">
        <v>584</v>
      </c>
      <c r="O51" s="4" t="s">
        <v>585</v>
      </c>
      <c r="P51" s="4" t="s">
        <v>455</v>
      </c>
    </row>
    <row r="52" spans="1:16" ht="30">
      <c r="A52" s="3" t="s">
        <v>155</v>
      </c>
      <c r="B52" s="3" t="s">
        <v>691</v>
      </c>
      <c r="C52" s="3" t="s">
        <v>468</v>
      </c>
      <c r="D52" s="4" t="s">
        <v>555</v>
      </c>
      <c r="E52" s="4" t="s">
        <v>692</v>
      </c>
      <c r="F52" s="4" t="s">
        <v>649</v>
      </c>
      <c r="G52" s="4" t="s">
        <v>577</v>
      </c>
      <c r="H52" s="4" t="s">
        <v>577</v>
      </c>
      <c r="I52" s="4"/>
      <c r="J52" s="4">
        <v>1</v>
      </c>
      <c r="K52" s="4"/>
      <c r="L52" s="4" t="s">
        <v>592</v>
      </c>
      <c r="M52" s="12">
        <v>52500</v>
      </c>
      <c r="N52" s="4" t="s">
        <v>593</v>
      </c>
      <c r="O52" s="4" t="s">
        <v>133</v>
      </c>
      <c r="P52" s="4" t="s">
        <v>455</v>
      </c>
    </row>
    <row r="53" spans="1:16" ht="15">
      <c r="A53" s="3" t="s">
        <v>155</v>
      </c>
      <c r="B53" s="3" t="s">
        <v>693</v>
      </c>
      <c r="C53" s="3" t="s">
        <v>600</v>
      </c>
      <c r="D53" s="4" t="s">
        <v>555</v>
      </c>
      <c r="E53" s="4" t="s">
        <v>156</v>
      </c>
      <c r="F53" s="4" t="s">
        <v>649</v>
      </c>
      <c r="G53" s="4" t="s">
        <v>6</v>
      </c>
      <c r="H53" s="4" t="s">
        <v>564</v>
      </c>
      <c r="I53" s="4"/>
      <c r="J53" s="4">
        <v>1</v>
      </c>
      <c r="K53" s="4">
        <v>2000</v>
      </c>
      <c r="L53" s="4" t="s">
        <v>559</v>
      </c>
      <c r="M53" s="12">
        <v>96829</v>
      </c>
      <c r="N53" s="4" t="s">
        <v>603</v>
      </c>
      <c r="O53" s="4" t="s">
        <v>604</v>
      </c>
      <c r="P53" s="4" t="s">
        <v>455</v>
      </c>
    </row>
    <row r="54" spans="1:16" ht="30">
      <c r="A54" s="3" t="s">
        <v>155</v>
      </c>
      <c r="B54" s="3" t="s">
        <v>694</v>
      </c>
      <c r="C54" s="3" t="s">
        <v>606</v>
      </c>
      <c r="D54" s="4" t="s">
        <v>555</v>
      </c>
      <c r="E54" s="4" t="s">
        <v>692</v>
      </c>
      <c r="F54" s="4" t="s">
        <v>649</v>
      </c>
      <c r="G54" s="4" t="s">
        <v>12</v>
      </c>
      <c r="H54" s="4" t="s">
        <v>564</v>
      </c>
      <c r="I54" s="4"/>
      <c r="J54" s="4">
        <v>1</v>
      </c>
      <c r="K54" s="4"/>
      <c r="L54" s="4" t="s">
        <v>607</v>
      </c>
      <c r="M54" s="12">
        <v>46000</v>
      </c>
      <c r="N54" s="4" t="s">
        <v>608</v>
      </c>
      <c r="O54" s="4" t="s">
        <v>609</v>
      </c>
      <c r="P54" s="4" t="s">
        <v>455</v>
      </c>
    </row>
    <row r="55" spans="1:16" ht="30">
      <c r="A55" s="3" t="s">
        <v>165</v>
      </c>
      <c r="B55" s="3" t="s">
        <v>695</v>
      </c>
      <c r="C55" s="3" t="s">
        <v>562</v>
      </c>
      <c r="D55" s="4" t="s">
        <v>665</v>
      </c>
      <c r="E55" s="4" t="s">
        <v>696</v>
      </c>
      <c r="F55" s="4" t="s">
        <v>697</v>
      </c>
      <c r="G55" s="4" t="s">
        <v>698</v>
      </c>
      <c r="H55" s="4" t="s">
        <v>564</v>
      </c>
      <c r="I55" s="4">
        <v>2026</v>
      </c>
      <c r="J55" s="4"/>
      <c r="K55" s="4"/>
      <c r="L55" s="4" t="s">
        <v>565</v>
      </c>
      <c r="M55" s="12">
        <v>68900</v>
      </c>
      <c r="N55" s="4" t="s">
        <v>566</v>
      </c>
      <c r="O55" s="4" t="s">
        <v>93</v>
      </c>
      <c r="P55" s="4" t="s">
        <v>455</v>
      </c>
    </row>
    <row r="56" spans="1:16" ht="30">
      <c r="A56" s="3" t="s">
        <v>165</v>
      </c>
      <c r="B56" s="3" t="s">
        <v>699</v>
      </c>
      <c r="C56" s="3" t="s">
        <v>651</v>
      </c>
      <c r="D56" s="4" t="s">
        <v>665</v>
      </c>
      <c r="E56" s="4" t="s">
        <v>700</v>
      </c>
      <c r="F56" s="4" t="s">
        <v>697</v>
      </c>
      <c r="G56" s="4" t="s">
        <v>698</v>
      </c>
      <c r="H56" s="4" t="s">
        <v>564</v>
      </c>
      <c r="I56" s="4"/>
      <c r="J56" s="4"/>
      <c r="K56" s="4"/>
      <c r="L56" s="4" t="s">
        <v>565</v>
      </c>
      <c r="M56" s="12">
        <v>65490</v>
      </c>
      <c r="N56" s="4" t="s">
        <v>653</v>
      </c>
      <c r="O56" s="4" t="s">
        <v>275</v>
      </c>
      <c r="P56" s="4" t="s">
        <v>455</v>
      </c>
    </row>
    <row r="57" spans="1:16" ht="30">
      <c r="A57" s="3" t="s">
        <v>165</v>
      </c>
      <c r="B57" s="3" t="s">
        <v>701</v>
      </c>
      <c r="C57" s="3" t="s">
        <v>535</v>
      </c>
      <c r="D57" s="4" t="s">
        <v>665</v>
      </c>
      <c r="E57" s="4" t="s">
        <v>700</v>
      </c>
      <c r="F57" s="4" t="s">
        <v>697</v>
      </c>
      <c r="G57" s="4" t="s">
        <v>698</v>
      </c>
      <c r="H57" s="4" t="s">
        <v>630</v>
      </c>
      <c r="I57" s="4"/>
      <c r="J57" s="4"/>
      <c r="K57" s="4"/>
      <c r="L57" s="4" t="s">
        <v>565</v>
      </c>
      <c r="M57" s="12">
        <v>70871</v>
      </c>
      <c r="N57" s="4" t="s">
        <v>573</v>
      </c>
      <c r="O57" s="4" t="s">
        <v>295</v>
      </c>
      <c r="P57" s="4" t="s">
        <v>455</v>
      </c>
    </row>
    <row r="58" spans="1:16" ht="30">
      <c r="A58" s="3" t="s">
        <v>165</v>
      </c>
      <c r="B58" s="3" t="s">
        <v>702</v>
      </c>
      <c r="C58" s="3" t="s">
        <v>611</v>
      </c>
      <c r="D58" s="4" t="s">
        <v>665</v>
      </c>
      <c r="E58" s="4" t="s">
        <v>703</v>
      </c>
      <c r="F58" s="4" t="s">
        <v>697</v>
      </c>
      <c r="G58" s="4" t="s">
        <v>698</v>
      </c>
      <c r="H58" s="4" t="s">
        <v>564</v>
      </c>
      <c r="I58" s="4">
        <v>2024</v>
      </c>
      <c r="J58" s="4">
        <v>24</v>
      </c>
      <c r="K58" s="4">
        <v>10000</v>
      </c>
      <c r="L58" s="4" t="s">
        <v>612</v>
      </c>
      <c r="M58" s="12">
        <v>56326</v>
      </c>
      <c r="N58" s="4" t="s">
        <v>613</v>
      </c>
      <c r="O58" s="4" t="s">
        <v>614</v>
      </c>
      <c r="P58" s="4" t="s">
        <v>455</v>
      </c>
    </row>
    <row r="59" spans="1:16" ht="30">
      <c r="A59" s="3" t="s">
        <v>165</v>
      </c>
      <c r="B59" s="3" t="s">
        <v>704</v>
      </c>
      <c r="C59" s="3" t="s">
        <v>611</v>
      </c>
      <c r="D59" s="4" t="s">
        <v>665</v>
      </c>
      <c r="E59" s="4" t="s">
        <v>703</v>
      </c>
      <c r="F59" s="4" t="s">
        <v>697</v>
      </c>
      <c r="G59" s="4" t="s">
        <v>698</v>
      </c>
      <c r="H59" s="4" t="s">
        <v>564</v>
      </c>
      <c r="I59" s="4">
        <v>2024</v>
      </c>
      <c r="J59" s="4">
        <v>24</v>
      </c>
      <c r="K59" s="4">
        <v>10000</v>
      </c>
      <c r="L59" s="4" t="s">
        <v>612</v>
      </c>
      <c r="M59" s="12">
        <v>46532</v>
      </c>
      <c r="N59" s="4" t="s">
        <v>613</v>
      </c>
      <c r="O59" s="4" t="s">
        <v>614</v>
      </c>
      <c r="P59" s="4" t="s">
        <v>455</v>
      </c>
    </row>
    <row r="60" spans="1:16" ht="30">
      <c r="A60" s="3" t="s">
        <v>165</v>
      </c>
      <c r="B60" s="3" t="s">
        <v>705</v>
      </c>
      <c r="C60" s="3" t="s">
        <v>611</v>
      </c>
      <c r="D60" s="4" t="s">
        <v>665</v>
      </c>
      <c r="E60" s="4" t="s">
        <v>166</v>
      </c>
      <c r="F60" s="4" t="s">
        <v>697</v>
      </c>
      <c r="G60" s="4" t="s">
        <v>577</v>
      </c>
      <c r="H60" s="4" t="s">
        <v>577</v>
      </c>
      <c r="I60" s="4"/>
      <c r="J60" s="4"/>
      <c r="K60" s="4"/>
      <c r="L60" s="4" t="s">
        <v>565</v>
      </c>
      <c r="M60" s="12">
        <v>49800</v>
      </c>
      <c r="N60" s="4" t="s">
        <v>617</v>
      </c>
      <c r="O60" s="4" t="s">
        <v>614</v>
      </c>
      <c r="P60" s="4" t="s">
        <v>455</v>
      </c>
    </row>
    <row r="61" spans="1:16" ht="30">
      <c r="A61" s="3" t="s">
        <v>175</v>
      </c>
      <c r="B61" s="3" t="s">
        <v>706</v>
      </c>
      <c r="C61" s="3" t="s">
        <v>562</v>
      </c>
      <c r="D61" s="4" t="s">
        <v>665</v>
      </c>
      <c r="E61" s="4" t="s">
        <v>707</v>
      </c>
      <c r="F61" s="4" t="s">
        <v>708</v>
      </c>
      <c r="G61" s="4" t="s">
        <v>698</v>
      </c>
      <c r="H61" s="4" t="s">
        <v>564</v>
      </c>
      <c r="I61" s="4">
        <v>2026</v>
      </c>
      <c r="J61" s="4"/>
      <c r="K61" s="4"/>
      <c r="L61" s="4" t="s">
        <v>565</v>
      </c>
      <c r="M61" s="12">
        <v>96900</v>
      </c>
      <c r="N61" s="4" t="s">
        <v>566</v>
      </c>
      <c r="O61" s="4" t="s">
        <v>93</v>
      </c>
      <c r="P61" s="4" t="s">
        <v>455</v>
      </c>
    </row>
    <row r="62" spans="1:16" ht="30">
      <c r="A62" s="3" t="s">
        <v>175</v>
      </c>
      <c r="B62" s="3" t="s">
        <v>709</v>
      </c>
      <c r="C62" s="3" t="s">
        <v>535</v>
      </c>
      <c r="D62" s="4" t="s">
        <v>665</v>
      </c>
      <c r="E62" s="4" t="s">
        <v>710</v>
      </c>
      <c r="F62" s="4" t="s">
        <v>708</v>
      </c>
      <c r="G62" s="4" t="s">
        <v>698</v>
      </c>
      <c r="H62" s="4" t="s">
        <v>630</v>
      </c>
      <c r="I62" s="4"/>
      <c r="J62" s="4"/>
      <c r="K62" s="4"/>
      <c r="L62" s="4" t="s">
        <v>565</v>
      </c>
      <c r="M62" s="12">
        <v>94202</v>
      </c>
      <c r="N62" s="4" t="s">
        <v>573</v>
      </c>
      <c r="O62" s="4" t="s">
        <v>295</v>
      </c>
      <c r="P62" s="4" t="s">
        <v>455</v>
      </c>
    </row>
    <row r="63" spans="1:16" ht="30">
      <c r="A63" s="3" t="s">
        <v>175</v>
      </c>
      <c r="B63" s="3" t="s">
        <v>711</v>
      </c>
      <c r="C63" s="3" t="s">
        <v>606</v>
      </c>
      <c r="D63" s="4" t="s">
        <v>665</v>
      </c>
      <c r="E63" s="4" t="s">
        <v>176</v>
      </c>
      <c r="F63" s="4" t="s">
        <v>708</v>
      </c>
      <c r="G63" s="4" t="s">
        <v>12</v>
      </c>
      <c r="H63" s="4" t="s">
        <v>564</v>
      </c>
      <c r="I63" s="4"/>
      <c r="J63" s="4">
        <v>1</v>
      </c>
      <c r="K63" s="4"/>
      <c r="L63" s="4" t="s">
        <v>607</v>
      </c>
      <c r="M63" s="12">
        <v>75000</v>
      </c>
      <c r="N63" s="4" t="s">
        <v>608</v>
      </c>
      <c r="O63" s="4" t="s">
        <v>609</v>
      </c>
      <c r="P63" s="4" t="s">
        <v>455</v>
      </c>
    </row>
    <row r="64" spans="1:16" ht="30">
      <c r="A64" s="3" t="s">
        <v>175</v>
      </c>
      <c r="B64" s="3" t="s">
        <v>712</v>
      </c>
      <c r="C64" s="3" t="s">
        <v>611</v>
      </c>
      <c r="D64" s="4" t="s">
        <v>665</v>
      </c>
      <c r="E64" s="4" t="s">
        <v>176</v>
      </c>
      <c r="F64" s="4" t="s">
        <v>708</v>
      </c>
      <c r="G64" s="4" t="s">
        <v>577</v>
      </c>
      <c r="H64" s="4" t="s">
        <v>577</v>
      </c>
      <c r="I64" s="4"/>
      <c r="J64" s="4"/>
      <c r="K64" s="4"/>
      <c r="L64" s="4" t="s">
        <v>565</v>
      </c>
      <c r="M64" s="12">
        <v>72750</v>
      </c>
      <c r="N64" s="4" t="s">
        <v>617</v>
      </c>
      <c r="O64" s="4" t="s">
        <v>614</v>
      </c>
      <c r="P64" s="4" t="s">
        <v>455</v>
      </c>
    </row>
    <row r="65" spans="1:16" ht="30">
      <c r="A65" s="3" t="s">
        <v>185</v>
      </c>
      <c r="B65" s="3" t="s">
        <v>713</v>
      </c>
      <c r="C65" s="3" t="s">
        <v>568</v>
      </c>
      <c r="D65" s="4" t="s">
        <v>623</v>
      </c>
      <c r="E65" s="4" t="s">
        <v>186</v>
      </c>
      <c r="F65" s="4" t="s">
        <v>126</v>
      </c>
      <c r="G65" s="4" t="s">
        <v>6</v>
      </c>
      <c r="H65" s="4" t="s">
        <v>564</v>
      </c>
      <c r="I65" s="4"/>
      <c r="J65" s="4">
        <v>12</v>
      </c>
      <c r="K65" s="4">
        <v>30000</v>
      </c>
      <c r="L65" s="4" t="s">
        <v>569</v>
      </c>
      <c r="M65" s="12">
        <v>43900</v>
      </c>
      <c r="N65" s="4" t="s">
        <v>570</v>
      </c>
      <c r="O65" s="4" t="s">
        <v>108</v>
      </c>
      <c r="P65" s="4" t="s">
        <v>455</v>
      </c>
    </row>
    <row r="66" spans="1:16" ht="30">
      <c r="A66" s="3" t="s">
        <v>185</v>
      </c>
      <c r="B66" s="3" t="s">
        <v>714</v>
      </c>
      <c r="C66" s="3" t="s">
        <v>535</v>
      </c>
      <c r="D66" s="4" t="s">
        <v>623</v>
      </c>
      <c r="E66" s="4" t="s">
        <v>715</v>
      </c>
      <c r="F66" s="4" t="s">
        <v>126</v>
      </c>
      <c r="G66" s="4" t="s">
        <v>6</v>
      </c>
      <c r="H66" s="4" t="s">
        <v>630</v>
      </c>
      <c r="I66" s="4"/>
      <c r="J66" s="4"/>
      <c r="K66" s="4"/>
      <c r="L66" s="4" t="s">
        <v>565</v>
      </c>
      <c r="M66" s="12">
        <v>49217</v>
      </c>
      <c r="N66" s="4" t="s">
        <v>573</v>
      </c>
      <c r="O66" s="4" t="s">
        <v>295</v>
      </c>
      <c r="P66" s="4" t="s">
        <v>455</v>
      </c>
    </row>
    <row r="67" spans="1:16" ht="30">
      <c r="A67" s="3" t="s">
        <v>185</v>
      </c>
      <c r="B67" s="3" t="s">
        <v>716</v>
      </c>
      <c r="C67" s="3" t="s">
        <v>619</v>
      </c>
      <c r="D67" s="4" t="s">
        <v>623</v>
      </c>
      <c r="E67" s="4" t="s">
        <v>186</v>
      </c>
      <c r="F67" s="4" t="s">
        <v>126</v>
      </c>
      <c r="G67" s="4" t="s">
        <v>6</v>
      </c>
      <c r="H67" s="4" t="s">
        <v>564</v>
      </c>
      <c r="I67" s="4"/>
      <c r="J67" s="4">
        <v>1</v>
      </c>
      <c r="K67" s="4">
        <v>3000</v>
      </c>
      <c r="L67" s="4" t="s">
        <v>559</v>
      </c>
      <c r="M67" s="12">
        <v>50250</v>
      </c>
      <c r="N67" s="4" t="s">
        <v>620</v>
      </c>
      <c r="O67" s="4" t="s">
        <v>621</v>
      </c>
      <c r="P67" s="4" t="s">
        <v>455</v>
      </c>
    </row>
    <row r="68" spans="1:16" ht="30">
      <c r="A68" s="3" t="s">
        <v>194</v>
      </c>
      <c r="B68" s="3" t="s">
        <v>717</v>
      </c>
      <c r="C68" s="3" t="s">
        <v>562</v>
      </c>
      <c r="D68" s="4" t="s">
        <v>718</v>
      </c>
      <c r="E68" s="4" t="s">
        <v>719</v>
      </c>
      <c r="F68" s="4" t="s">
        <v>126</v>
      </c>
      <c r="G68" s="4" t="s">
        <v>6</v>
      </c>
      <c r="H68" s="4" t="s">
        <v>564</v>
      </c>
      <c r="I68" s="4">
        <v>2026</v>
      </c>
      <c r="J68" s="4"/>
      <c r="K68" s="4"/>
      <c r="L68" s="4" t="s">
        <v>565</v>
      </c>
      <c r="M68" s="12">
        <v>51900</v>
      </c>
      <c r="N68" s="4" t="s">
        <v>566</v>
      </c>
      <c r="O68" s="4" t="s">
        <v>93</v>
      </c>
      <c r="P68" s="4" t="s">
        <v>455</v>
      </c>
    </row>
    <row r="69" spans="1:16" ht="30">
      <c r="A69" s="3" t="s">
        <v>194</v>
      </c>
      <c r="B69" s="3" t="s">
        <v>720</v>
      </c>
      <c r="C69" s="3" t="s">
        <v>651</v>
      </c>
      <c r="D69" s="4" t="s">
        <v>718</v>
      </c>
      <c r="E69" s="4" t="s">
        <v>721</v>
      </c>
      <c r="F69" s="4" t="s">
        <v>126</v>
      </c>
      <c r="G69" s="4" t="s">
        <v>6</v>
      </c>
      <c r="H69" s="4" t="s">
        <v>564</v>
      </c>
      <c r="I69" s="4"/>
      <c r="J69" s="4"/>
      <c r="K69" s="4"/>
      <c r="L69" s="4" t="s">
        <v>565</v>
      </c>
      <c r="M69" s="12">
        <v>40000</v>
      </c>
      <c r="N69" s="4" t="s">
        <v>653</v>
      </c>
      <c r="O69" s="4" t="s">
        <v>275</v>
      </c>
      <c r="P69" s="4" t="s">
        <v>455</v>
      </c>
    </row>
    <row r="70" spans="1:16" ht="30">
      <c r="A70" s="3" t="s">
        <v>194</v>
      </c>
      <c r="B70" s="3" t="s">
        <v>722</v>
      </c>
      <c r="C70" s="3" t="s">
        <v>468</v>
      </c>
      <c r="D70" s="4" t="s">
        <v>718</v>
      </c>
      <c r="E70" s="4" t="s">
        <v>196</v>
      </c>
      <c r="F70" s="4" t="s">
        <v>126</v>
      </c>
      <c r="G70" s="4" t="s">
        <v>577</v>
      </c>
      <c r="H70" s="4" t="s">
        <v>577</v>
      </c>
      <c r="I70" s="4"/>
      <c r="J70" s="4">
        <v>1</v>
      </c>
      <c r="K70" s="4"/>
      <c r="L70" s="4" t="s">
        <v>592</v>
      </c>
      <c r="M70" s="12">
        <v>49000</v>
      </c>
      <c r="N70" s="4" t="s">
        <v>593</v>
      </c>
      <c r="O70" s="4" t="s">
        <v>133</v>
      </c>
      <c r="P70" s="4" t="s">
        <v>455</v>
      </c>
    </row>
    <row r="71" spans="1:16" ht="30">
      <c r="A71" s="3" t="s">
        <v>194</v>
      </c>
      <c r="B71" s="3" t="s">
        <v>723</v>
      </c>
      <c r="C71" s="3" t="s">
        <v>611</v>
      </c>
      <c r="D71" s="4" t="s">
        <v>718</v>
      </c>
      <c r="E71" s="4" t="s">
        <v>724</v>
      </c>
      <c r="F71" s="4" t="s">
        <v>126</v>
      </c>
      <c r="G71" s="4" t="s">
        <v>6</v>
      </c>
      <c r="H71" s="4" t="s">
        <v>564</v>
      </c>
      <c r="I71" s="4">
        <v>2023</v>
      </c>
      <c r="J71" s="4">
        <v>24</v>
      </c>
      <c r="K71" s="4">
        <v>10000</v>
      </c>
      <c r="L71" s="4" t="s">
        <v>612</v>
      </c>
      <c r="M71" s="12">
        <v>32485</v>
      </c>
      <c r="N71" s="4" t="s">
        <v>613</v>
      </c>
      <c r="O71" s="4" t="s">
        <v>614</v>
      </c>
      <c r="P71" s="4" t="s">
        <v>455</v>
      </c>
    </row>
    <row r="72" spans="1:16" ht="30">
      <c r="A72" s="3" t="s">
        <v>194</v>
      </c>
      <c r="B72" s="3" t="s">
        <v>725</v>
      </c>
      <c r="C72" s="3" t="s">
        <v>611</v>
      </c>
      <c r="D72" s="4" t="s">
        <v>718</v>
      </c>
      <c r="E72" s="4" t="s">
        <v>724</v>
      </c>
      <c r="F72" s="4" t="s">
        <v>126</v>
      </c>
      <c r="G72" s="4" t="s">
        <v>6</v>
      </c>
      <c r="H72" s="4" t="s">
        <v>564</v>
      </c>
      <c r="I72" s="4">
        <v>2023</v>
      </c>
      <c r="J72" s="4">
        <v>24</v>
      </c>
      <c r="K72" s="4">
        <v>10000</v>
      </c>
      <c r="L72" s="4" t="s">
        <v>612</v>
      </c>
      <c r="M72" s="12">
        <v>36146</v>
      </c>
      <c r="N72" s="4" t="s">
        <v>613</v>
      </c>
      <c r="O72" s="4" t="s">
        <v>614</v>
      </c>
      <c r="P72" s="4" t="s">
        <v>455</v>
      </c>
    </row>
    <row r="73" spans="1:16" ht="30">
      <c r="A73" s="3" t="s">
        <v>194</v>
      </c>
      <c r="B73" s="3" t="s">
        <v>726</v>
      </c>
      <c r="C73" s="3" t="s">
        <v>611</v>
      </c>
      <c r="D73" s="4" t="s">
        <v>718</v>
      </c>
      <c r="E73" s="4" t="s">
        <v>724</v>
      </c>
      <c r="F73" s="4" t="s">
        <v>126</v>
      </c>
      <c r="G73" s="4" t="s">
        <v>6</v>
      </c>
      <c r="H73" s="4" t="s">
        <v>564</v>
      </c>
      <c r="I73" s="4">
        <v>2023</v>
      </c>
      <c r="J73" s="4">
        <v>24</v>
      </c>
      <c r="K73" s="4">
        <v>10000</v>
      </c>
      <c r="L73" s="4" t="s">
        <v>612</v>
      </c>
      <c r="M73" s="12">
        <v>37388</v>
      </c>
      <c r="N73" s="4" t="s">
        <v>613</v>
      </c>
      <c r="O73" s="4" t="s">
        <v>614</v>
      </c>
      <c r="P73" s="4" t="s">
        <v>455</v>
      </c>
    </row>
    <row r="74" spans="1:16" ht="30">
      <c r="A74" s="3" t="s">
        <v>206</v>
      </c>
      <c r="B74" s="3" t="s">
        <v>727</v>
      </c>
      <c r="C74" s="3" t="s">
        <v>562</v>
      </c>
      <c r="D74" s="4" t="s">
        <v>636</v>
      </c>
      <c r="E74" s="4" t="s">
        <v>728</v>
      </c>
      <c r="F74" s="4" t="s">
        <v>126</v>
      </c>
      <c r="G74" s="4" t="s">
        <v>638</v>
      </c>
      <c r="H74" s="4" t="s">
        <v>564</v>
      </c>
      <c r="I74" s="4">
        <v>2026</v>
      </c>
      <c r="J74" s="4"/>
      <c r="K74" s="4"/>
      <c r="L74" s="4" t="s">
        <v>565</v>
      </c>
      <c r="M74" s="12">
        <v>51900</v>
      </c>
      <c r="N74" s="4" t="s">
        <v>566</v>
      </c>
      <c r="O74" s="4" t="s">
        <v>93</v>
      </c>
      <c r="P74" s="4" t="s">
        <v>455</v>
      </c>
    </row>
    <row r="75" spans="1:16" ht="30">
      <c r="A75" s="3" t="s">
        <v>206</v>
      </c>
      <c r="B75" s="3" t="s">
        <v>729</v>
      </c>
      <c r="C75" s="3" t="s">
        <v>535</v>
      </c>
      <c r="D75" s="4" t="s">
        <v>636</v>
      </c>
      <c r="E75" s="4" t="s">
        <v>730</v>
      </c>
      <c r="F75" s="4" t="s">
        <v>126</v>
      </c>
      <c r="G75" s="4" t="s">
        <v>638</v>
      </c>
      <c r="H75" s="4" t="s">
        <v>630</v>
      </c>
      <c r="I75" s="4"/>
      <c r="J75" s="4"/>
      <c r="K75" s="4"/>
      <c r="L75" s="4" t="s">
        <v>565</v>
      </c>
      <c r="M75" s="12">
        <v>57477</v>
      </c>
      <c r="N75" s="4" t="s">
        <v>573</v>
      </c>
      <c r="O75" s="4" t="s">
        <v>295</v>
      </c>
      <c r="P75" s="4" t="s">
        <v>455</v>
      </c>
    </row>
    <row r="76" spans="1:16" ht="30">
      <c r="A76" s="3" t="s">
        <v>217</v>
      </c>
      <c r="B76" s="3" t="s">
        <v>731</v>
      </c>
      <c r="C76" s="3" t="s">
        <v>568</v>
      </c>
      <c r="D76" s="4" t="s">
        <v>732</v>
      </c>
      <c r="E76" s="4" t="s">
        <v>219</v>
      </c>
      <c r="F76" s="4" t="s">
        <v>126</v>
      </c>
      <c r="G76" s="4" t="s">
        <v>638</v>
      </c>
      <c r="H76" s="4" t="s">
        <v>564</v>
      </c>
      <c r="I76" s="4"/>
      <c r="J76" s="4">
        <v>36</v>
      </c>
      <c r="K76" s="4">
        <v>10000</v>
      </c>
      <c r="L76" s="4" t="s">
        <v>627</v>
      </c>
      <c r="M76" s="12">
        <v>55900</v>
      </c>
      <c r="N76" s="4" t="s">
        <v>570</v>
      </c>
      <c r="O76" s="4" t="s">
        <v>108</v>
      </c>
      <c r="P76" s="4" t="s">
        <v>455</v>
      </c>
    </row>
    <row r="77" spans="1:16" ht="30">
      <c r="A77" s="3" t="s">
        <v>217</v>
      </c>
      <c r="B77" s="3" t="s">
        <v>733</v>
      </c>
      <c r="C77" s="3" t="s">
        <v>535</v>
      </c>
      <c r="D77" s="4" t="s">
        <v>732</v>
      </c>
      <c r="E77" s="4" t="s">
        <v>734</v>
      </c>
      <c r="F77" s="4" t="s">
        <v>126</v>
      </c>
      <c r="G77" s="4" t="s">
        <v>638</v>
      </c>
      <c r="H77" s="4" t="s">
        <v>630</v>
      </c>
      <c r="I77" s="4"/>
      <c r="J77" s="4"/>
      <c r="K77" s="4"/>
      <c r="L77" s="4" t="s">
        <v>565</v>
      </c>
      <c r="M77" s="12">
        <v>58566</v>
      </c>
      <c r="N77" s="4" t="s">
        <v>573</v>
      </c>
      <c r="O77" s="4" t="s">
        <v>295</v>
      </c>
      <c r="P77" s="4" t="s">
        <v>455</v>
      </c>
    </row>
    <row r="78" spans="1:16" ht="30">
      <c r="A78" s="3" t="s">
        <v>217</v>
      </c>
      <c r="B78" s="3" t="s">
        <v>735</v>
      </c>
      <c r="C78" s="3" t="s">
        <v>642</v>
      </c>
      <c r="D78" s="4" t="s">
        <v>732</v>
      </c>
      <c r="E78" s="4" t="s">
        <v>736</v>
      </c>
      <c r="F78" s="4" t="s">
        <v>126</v>
      </c>
      <c r="G78" s="4" t="s">
        <v>638</v>
      </c>
      <c r="H78" s="4" t="s">
        <v>564</v>
      </c>
      <c r="I78" s="4"/>
      <c r="J78" s="4"/>
      <c r="K78" s="4"/>
      <c r="L78" s="4" t="s">
        <v>565</v>
      </c>
      <c r="M78" s="12">
        <v>55550</v>
      </c>
      <c r="N78" s="4" t="s">
        <v>644</v>
      </c>
      <c r="O78" s="4" t="s">
        <v>645</v>
      </c>
      <c r="P78" s="4" t="s">
        <v>455</v>
      </c>
    </row>
    <row r="79" spans="1:16" ht="30">
      <c r="A79" s="3" t="s">
        <v>229</v>
      </c>
      <c r="B79" s="3" t="s">
        <v>737</v>
      </c>
      <c r="C79" s="3" t="s">
        <v>541</v>
      </c>
      <c r="D79" s="4" t="s">
        <v>738</v>
      </c>
      <c r="E79" s="4" t="s">
        <v>230</v>
      </c>
      <c r="F79" s="4" t="s">
        <v>209</v>
      </c>
      <c r="G79" s="4" t="s">
        <v>12</v>
      </c>
      <c r="H79" s="4" t="s">
        <v>558</v>
      </c>
      <c r="I79" s="4"/>
      <c r="J79" s="4"/>
      <c r="K79" s="4">
        <v>4000</v>
      </c>
      <c r="L79" s="4" t="s">
        <v>559</v>
      </c>
      <c r="M79" s="12">
        <v>45833</v>
      </c>
      <c r="N79" s="4" t="s">
        <v>560</v>
      </c>
      <c r="O79" s="4" t="s">
        <v>80</v>
      </c>
      <c r="P79" s="4" t="s">
        <v>455</v>
      </c>
    </row>
    <row r="80" spans="1:16" ht="30">
      <c r="A80" s="3" t="s">
        <v>229</v>
      </c>
      <c r="B80" s="3" t="s">
        <v>739</v>
      </c>
      <c r="C80" s="3" t="s">
        <v>606</v>
      </c>
      <c r="D80" s="4" t="s">
        <v>555</v>
      </c>
      <c r="E80" s="4" t="s">
        <v>230</v>
      </c>
      <c r="F80" s="4" t="s">
        <v>209</v>
      </c>
      <c r="G80" s="4" t="s">
        <v>12</v>
      </c>
      <c r="H80" s="4" t="s">
        <v>564</v>
      </c>
      <c r="I80" s="4"/>
      <c r="J80" s="4">
        <v>1</v>
      </c>
      <c r="K80" s="4"/>
      <c r="L80" s="4" t="s">
        <v>607</v>
      </c>
      <c r="M80" s="12">
        <v>58000</v>
      </c>
      <c r="N80" s="4" t="s">
        <v>608</v>
      </c>
      <c r="O80" s="4" t="s">
        <v>609</v>
      </c>
      <c r="P80" s="4" t="s">
        <v>455</v>
      </c>
    </row>
    <row r="81" spans="1:16" ht="30">
      <c r="A81" s="3" t="s">
        <v>238</v>
      </c>
      <c r="B81" s="3" t="s">
        <v>740</v>
      </c>
      <c r="C81" s="3" t="s">
        <v>541</v>
      </c>
      <c r="D81" s="4" t="s">
        <v>741</v>
      </c>
      <c r="E81" s="4" t="s">
        <v>240</v>
      </c>
      <c r="F81" s="4" t="s">
        <v>209</v>
      </c>
      <c r="G81" s="4" t="s">
        <v>6</v>
      </c>
      <c r="H81" s="4" t="s">
        <v>564</v>
      </c>
      <c r="I81" s="4"/>
      <c r="J81" s="4"/>
      <c r="K81" s="4">
        <v>4000</v>
      </c>
      <c r="L81" s="4" t="s">
        <v>559</v>
      </c>
      <c r="M81" s="12">
        <v>66666</v>
      </c>
      <c r="N81" s="4" t="s">
        <v>560</v>
      </c>
      <c r="O81" s="4" t="s">
        <v>80</v>
      </c>
      <c r="P81" s="4" t="s">
        <v>455</v>
      </c>
    </row>
    <row r="82" spans="1:16" ht="30">
      <c r="A82" s="3" t="s">
        <v>238</v>
      </c>
      <c r="B82" s="3" t="s">
        <v>742</v>
      </c>
      <c r="C82" s="3" t="s">
        <v>562</v>
      </c>
      <c r="D82" s="4" t="s">
        <v>741</v>
      </c>
      <c r="E82" s="4" t="s">
        <v>743</v>
      </c>
      <c r="F82" s="4" t="s">
        <v>209</v>
      </c>
      <c r="G82" s="4" t="s">
        <v>698</v>
      </c>
      <c r="H82" s="4" t="s">
        <v>564</v>
      </c>
      <c r="I82" s="4">
        <v>2026</v>
      </c>
      <c r="J82" s="4"/>
      <c r="K82" s="4"/>
      <c r="L82" s="4" t="s">
        <v>565</v>
      </c>
      <c r="M82" s="12">
        <v>59900</v>
      </c>
      <c r="N82" s="4" t="s">
        <v>566</v>
      </c>
      <c r="O82" s="4" t="s">
        <v>93</v>
      </c>
      <c r="P82" s="4" t="s">
        <v>455</v>
      </c>
    </row>
    <row r="83" spans="1:16" ht="15">
      <c r="A83" s="3" t="s">
        <v>238</v>
      </c>
      <c r="B83" s="3" t="s">
        <v>744</v>
      </c>
      <c r="C83" s="3" t="s">
        <v>600</v>
      </c>
      <c r="D83" s="4" t="s">
        <v>741</v>
      </c>
      <c r="E83" s="4" t="s">
        <v>240</v>
      </c>
      <c r="F83" s="4" t="s">
        <v>209</v>
      </c>
      <c r="G83" s="4" t="s">
        <v>6</v>
      </c>
      <c r="H83" s="4" t="s">
        <v>564</v>
      </c>
      <c r="I83" s="4"/>
      <c r="J83" s="4">
        <v>1</v>
      </c>
      <c r="K83" s="4">
        <v>2000</v>
      </c>
      <c r="L83" s="4" t="s">
        <v>559</v>
      </c>
      <c r="M83" s="12">
        <v>149236</v>
      </c>
      <c r="N83" s="4" t="s">
        <v>603</v>
      </c>
      <c r="O83" s="4" t="s">
        <v>604</v>
      </c>
      <c r="P83" s="4" t="s">
        <v>455</v>
      </c>
    </row>
    <row r="84" spans="1:16" ht="30">
      <c r="A84" s="3" t="s">
        <v>238</v>
      </c>
      <c r="B84" s="3" t="s">
        <v>745</v>
      </c>
      <c r="C84" s="3" t="s">
        <v>611</v>
      </c>
      <c r="D84" s="4" t="s">
        <v>741</v>
      </c>
      <c r="E84" s="4" t="s">
        <v>746</v>
      </c>
      <c r="F84" s="4" t="s">
        <v>209</v>
      </c>
      <c r="G84" s="4" t="s">
        <v>6</v>
      </c>
      <c r="H84" s="4" t="s">
        <v>564</v>
      </c>
      <c r="I84" s="4">
        <v>2022</v>
      </c>
      <c r="J84" s="4">
        <v>24</v>
      </c>
      <c r="K84" s="4">
        <v>10000</v>
      </c>
      <c r="L84" s="4" t="s">
        <v>612</v>
      </c>
      <c r="M84" s="12">
        <v>37950</v>
      </c>
      <c r="N84" s="4" t="s">
        <v>613</v>
      </c>
      <c r="O84" s="4" t="s">
        <v>614</v>
      </c>
      <c r="P84" s="4" t="s">
        <v>455</v>
      </c>
    </row>
    <row r="85" spans="1:16" ht="30">
      <c r="A85" s="3" t="s">
        <v>248</v>
      </c>
      <c r="B85" s="3" t="s">
        <v>747</v>
      </c>
      <c r="C85" s="3" t="s">
        <v>562</v>
      </c>
      <c r="D85" s="4" t="s">
        <v>732</v>
      </c>
      <c r="E85" s="4" t="s">
        <v>748</v>
      </c>
      <c r="F85" s="4" t="s">
        <v>209</v>
      </c>
      <c r="G85" s="4" t="s">
        <v>638</v>
      </c>
      <c r="H85" s="4" t="s">
        <v>564</v>
      </c>
      <c r="I85" s="4">
        <v>2026</v>
      </c>
      <c r="J85" s="4"/>
      <c r="K85" s="4"/>
      <c r="L85" s="4" t="s">
        <v>565</v>
      </c>
      <c r="M85" s="12">
        <v>75900</v>
      </c>
      <c r="N85" s="4" t="s">
        <v>566</v>
      </c>
      <c r="O85" s="4" t="s">
        <v>93</v>
      </c>
      <c r="P85" s="4" t="s">
        <v>455</v>
      </c>
    </row>
    <row r="86" spans="1:16" ht="30">
      <c r="A86" s="3" t="s">
        <v>248</v>
      </c>
      <c r="B86" s="3" t="s">
        <v>749</v>
      </c>
      <c r="C86" s="3" t="s">
        <v>535</v>
      </c>
      <c r="D86" s="4" t="s">
        <v>732</v>
      </c>
      <c r="E86" s="4" t="s">
        <v>750</v>
      </c>
      <c r="F86" s="4" t="s">
        <v>209</v>
      </c>
      <c r="G86" s="4" t="s">
        <v>638</v>
      </c>
      <c r="H86" s="4" t="s">
        <v>630</v>
      </c>
      <c r="I86" s="4"/>
      <c r="J86" s="4"/>
      <c r="K86" s="4"/>
      <c r="L86" s="4" t="s">
        <v>565</v>
      </c>
      <c r="M86" s="12">
        <v>66525</v>
      </c>
      <c r="N86" s="4" t="s">
        <v>573</v>
      </c>
      <c r="O86" s="4" t="s">
        <v>295</v>
      </c>
      <c r="P86" s="4" t="s">
        <v>455</v>
      </c>
    </row>
    <row r="87" spans="1:16" ht="30">
      <c r="A87" s="3" t="s">
        <v>248</v>
      </c>
      <c r="B87" s="3" t="s">
        <v>751</v>
      </c>
      <c r="C87" s="3" t="s">
        <v>642</v>
      </c>
      <c r="D87" s="4" t="s">
        <v>732</v>
      </c>
      <c r="E87" s="4" t="s">
        <v>752</v>
      </c>
      <c r="F87" s="4" t="s">
        <v>209</v>
      </c>
      <c r="G87" s="4" t="s">
        <v>638</v>
      </c>
      <c r="H87" s="4" t="s">
        <v>564</v>
      </c>
      <c r="I87" s="4"/>
      <c r="J87" s="4"/>
      <c r="K87" s="4"/>
      <c r="L87" s="4" t="s">
        <v>565</v>
      </c>
      <c r="M87" s="12">
        <v>58230</v>
      </c>
      <c r="N87" s="4" t="s">
        <v>644</v>
      </c>
      <c r="O87" s="4" t="s">
        <v>645</v>
      </c>
      <c r="P87" s="4" t="s">
        <v>455</v>
      </c>
    </row>
    <row r="88" spans="1:16" ht="15">
      <c r="A88" s="3" t="s">
        <v>248</v>
      </c>
      <c r="B88" s="3" t="s">
        <v>753</v>
      </c>
      <c r="C88" s="3" t="s">
        <v>587</v>
      </c>
      <c r="D88" s="4" t="s">
        <v>732</v>
      </c>
      <c r="E88" s="4" t="s">
        <v>754</v>
      </c>
      <c r="F88" s="4" t="s">
        <v>209</v>
      </c>
      <c r="G88" s="4" t="s">
        <v>638</v>
      </c>
      <c r="H88" s="4" t="s">
        <v>564</v>
      </c>
      <c r="I88" s="4"/>
      <c r="J88" s="4"/>
      <c r="K88" s="4"/>
      <c r="L88" s="4" t="s">
        <v>565</v>
      </c>
      <c r="M88" s="12">
        <v>75000</v>
      </c>
      <c r="N88" s="4" t="s">
        <v>589</v>
      </c>
      <c r="O88" s="4" t="s">
        <v>590</v>
      </c>
      <c r="P88" s="4" t="s">
        <v>455</v>
      </c>
    </row>
    <row r="89" spans="1:16" ht="30">
      <c r="A89" s="3" t="s">
        <v>248</v>
      </c>
      <c r="B89" s="3" t="s">
        <v>755</v>
      </c>
      <c r="C89" s="3" t="s">
        <v>595</v>
      </c>
      <c r="D89" s="4" t="s">
        <v>732</v>
      </c>
      <c r="E89" s="4" t="s">
        <v>756</v>
      </c>
      <c r="F89" s="4" t="s">
        <v>209</v>
      </c>
      <c r="G89" s="4" t="s">
        <v>638</v>
      </c>
      <c r="H89" s="4" t="s">
        <v>564</v>
      </c>
      <c r="I89" s="4"/>
      <c r="J89" s="4">
        <v>6</v>
      </c>
      <c r="K89" s="4">
        <v>4000</v>
      </c>
      <c r="L89" s="4" t="s">
        <v>559</v>
      </c>
      <c r="M89" s="12">
        <v>80735</v>
      </c>
      <c r="N89" s="4" t="s">
        <v>597</v>
      </c>
      <c r="O89" s="4" t="s">
        <v>598</v>
      </c>
      <c r="P89" s="4" t="s">
        <v>455</v>
      </c>
    </row>
    <row r="90" spans="1:16" ht="30">
      <c r="A90" s="3" t="s">
        <v>257</v>
      </c>
      <c r="B90" s="3" t="s">
        <v>757</v>
      </c>
      <c r="C90" s="3" t="s">
        <v>562</v>
      </c>
      <c r="D90" s="4" t="s">
        <v>718</v>
      </c>
      <c r="E90" s="4" t="s">
        <v>758</v>
      </c>
      <c r="F90" s="4" t="s">
        <v>209</v>
      </c>
      <c r="G90" s="4" t="s">
        <v>6</v>
      </c>
      <c r="H90" s="4" t="s">
        <v>564</v>
      </c>
      <c r="I90" s="4">
        <v>2026</v>
      </c>
      <c r="J90" s="4"/>
      <c r="K90" s="4"/>
      <c r="L90" s="4" t="s">
        <v>565</v>
      </c>
      <c r="M90" s="12">
        <v>65000</v>
      </c>
      <c r="N90" s="4" t="s">
        <v>566</v>
      </c>
      <c r="O90" s="4" t="s">
        <v>93</v>
      </c>
      <c r="P90" s="4" t="s">
        <v>455</v>
      </c>
    </row>
    <row r="91" spans="1:16" ht="30">
      <c r="A91" s="3" t="s">
        <v>257</v>
      </c>
      <c r="B91" s="3" t="s">
        <v>759</v>
      </c>
      <c r="C91" s="3" t="s">
        <v>468</v>
      </c>
      <c r="D91" s="4" t="s">
        <v>718</v>
      </c>
      <c r="E91" s="4" t="s">
        <v>258</v>
      </c>
      <c r="F91" s="4" t="s">
        <v>209</v>
      </c>
      <c r="G91" s="4" t="s">
        <v>577</v>
      </c>
      <c r="H91" s="4" t="s">
        <v>577</v>
      </c>
      <c r="I91" s="4"/>
      <c r="J91" s="4">
        <v>1</v>
      </c>
      <c r="K91" s="4"/>
      <c r="L91" s="4" t="s">
        <v>592</v>
      </c>
      <c r="M91" s="12">
        <v>65000</v>
      </c>
      <c r="N91" s="4" t="s">
        <v>593</v>
      </c>
      <c r="O91" s="4" t="s">
        <v>133</v>
      </c>
      <c r="P91" s="4" t="s">
        <v>455</v>
      </c>
    </row>
    <row r="92" spans="1:16" ht="15">
      <c r="A92" s="3" t="s">
        <v>257</v>
      </c>
      <c r="B92" s="3" t="s">
        <v>760</v>
      </c>
      <c r="C92" s="3" t="s">
        <v>611</v>
      </c>
      <c r="D92" s="4" t="s">
        <v>718</v>
      </c>
      <c r="E92" s="4" t="s">
        <v>258</v>
      </c>
      <c r="F92" s="4" t="s">
        <v>209</v>
      </c>
      <c r="G92" s="4" t="s">
        <v>577</v>
      </c>
      <c r="H92" s="4" t="s">
        <v>577</v>
      </c>
      <c r="I92" s="4"/>
      <c r="J92" s="4"/>
      <c r="K92" s="4"/>
      <c r="L92" s="4" t="s">
        <v>565</v>
      </c>
      <c r="M92" s="12">
        <v>49000</v>
      </c>
      <c r="N92" s="4" t="s">
        <v>617</v>
      </c>
      <c r="O92" s="4" t="s">
        <v>614</v>
      </c>
      <c r="P92" s="4" t="s">
        <v>455</v>
      </c>
    </row>
    <row r="93" spans="1:16" ht="30">
      <c r="A93" s="3" t="s">
        <v>266</v>
      </c>
      <c r="B93" s="3" t="s">
        <v>761</v>
      </c>
      <c r="C93" s="3" t="s">
        <v>651</v>
      </c>
      <c r="D93" s="4" t="s">
        <v>555</v>
      </c>
      <c r="E93" s="4" t="s">
        <v>762</v>
      </c>
      <c r="F93" s="4" t="s">
        <v>209</v>
      </c>
      <c r="G93" s="4" t="s">
        <v>698</v>
      </c>
      <c r="H93" s="4" t="s">
        <v>564</v>
      </c>
      <c r="I93" s="4"/>
      <c r="J93" s="4"/>
      <c r="K93" s="4"/>
      <c r="L93" s="4" t="s">
        <v>565</v>
      </c>
      <c r="M93" s="12">
        <v>75100</v>
      </c>
      <c r="N93" s="4" t="s">
        <v>653</v>
      </c>
      <c r="O93" s="4" t="s">
        <v>275</v>
      </c>
      <c r="P93" s="4" t="s">
        <v>455</v>
      </c>
    </row>
    <row r="94" spans="1:16" ht="30">
      <c r="A94" s="3" t="s">
        <v>266</v>
      </c>
      <c r="B94" s="3" t="s">
        <v>763</v>
      </c>
      <c r="C94" s="3" t="s">
        <v>575</v>
      </c>
      <c r="D94" s="4" t="s">
        <v>555</v>
      </c>
      <c r="E94" s="4" t="s">
        <v>267</v>
      </c>
      <c r="F94" s="4" t="s">
        <v>209</v>
      </c>
      <c r="G94" s="4" t="s">
        <v>577</v>
      </c>
      <c r="H94" s="4" t="s">
        <v>577</v>
      </c>
      <c r="I94" s="4"/>
      <c r="J94" s="4">
        <v>1</v>
      </c>
      <c r="K94" s="4"/>
      <c r="L94" s="4" t="s">
        <v>565</v>
      </c>
      <c r="M94" s="12">
        <v>52000</v>
      </c>
      <c r="N94" s="4" t="s">
        <v>578</v>
      </c>
      <c r="O94" s="4" t="s">
        <v>579</v>
      </c>
      <c r="P94" s="4" t="s">
        <v>455</v>
      </c>
    </row>
    <row r="95" spans="1:16" ht="30">
      <c r="A95" s="3" t="s">
        <v>277</v>
      </c>
      <c r="B95" s="3" t="s">
        <v>764</v>
      </c>
      <c r="C95" s="3" t="s">
        <v>568</v>
      </c>
      <c r="D95" s="4" t="s">
        <v>765</v>
      </c>
      <c r="E95" s="4" t="s">
        <v>279</v>
      </c>
      <c r="F95" s="4" t="s">
        <v>209</v>
      </c>
      <c r="G95" s="4" t="s">
        <v>6</v>
      </c>
      <c r="H95" s="4" t="s">
        <v>564</v>
      </c>
      <c r="I95" s="4"/>
      <c r="J95" s="4">
        <v>24</v>
      </c>
      <c r="K95" s="4">
        <v>10000</v>
      </c>
      <c r="L95" s="4" t="s">
        <v>627</v>
      </c>
      <c r="M95" s="12">
        <v>57900</v>
      </c>
      <c r="N95" s="4" t="s">
        <v>570</v>
      </c>
      <c r="O95" s="4" t="s">
        <v>108</v>
      </c>
      <c r="P95" s="4" t="s">
        <v>455</v>
      </c>
    </row>
    <row r="96" spans="1:16" ht="15">
      <c r="A96" s="3" t="s">
        <v>277</v>
      </c>
      <c r="B96" s="3" t="s">
        <v>766</v>
      </c>
      <c r="C96" s="3" t="s">
        <v>611</v>
      </c>
      <c r="D96" s="4" t="s">
        <v>765</v>
      </c>
      <c r="E96" s="4" t="s">
        <v>279</v>
      </c>
      <c r="F96" s="4" t="s">
        <v>209</v>
      </c>
      <c r="G96" s="4" t="s">
        <v>577</v>
      </c>
      <c r="H96" s="4" t="s">
        <v>577</v>
      </c>
      <c r="I96" s="4"/>
      <c r="J96" s="4"/>
      <c r="K96" s="4"/>
      <c r="L96" s="4" t="s">
        <v>565</v>
      </c>
      <c r="M96" s="12">
        <v>51800</v>
      </c>
      <c r="N96" s="4" t="s">
        <v>617</v>
      </c>
      <c r="O96" s="4" t="s">
        <v>614</v>
      </c>
      <c r="P96" s="4" t="s">
        <v>455</v>
      </c>
    </row>
    <row r="97" spans="1:16" ht="30">
      <c r="A97" s="3" t="s">
        <v>287</v>
      </c>
      <c r="B97" s="3" t="s">
        <v>767</v>
      </c>
      <c r="C97" s="3" t="s">
        <v>535</v>
      </c>
      <c r="D97" s="4" t="s">
        <v>732</v>
      </c>
      <c r="E97" s="4" t="s">
        <v>768</v>
      </c>
      <c r="F97" s="4" t="s">
        <v>769</v>
      </c>
      <c r="G97" s="4" t="s">
        <v>638</v>
      </c>
      <c r="H97" s="4" t="s">
        <v>630</v>
      </c>
      <c r="I97" s="4"/>
      <c r="J97" s="4"/>
      <c r="K97" s="4"/>
      <c r="L97" s="4" t="s">
        <v>565</v>
      </c>
      <c r="M97" s="12">
        <v>60925</v>
      </c>
      <c r="N97" s="4" t="s">
        <v>573</v>
      </c>
      <c r="O97" s="4" t="s">
        <v>295</v>
      </c>
      <c r="P97" s="4" t="s">
        <v>455</v>
      </c>
    </row>
    <row r="98" spans="1:16" ht="30">
      <c r="A98" s="3" t="s">
        <v>287</v>
      </c>
      <c r="B98" s="3" t="s">
        <v>770</v>
      </c>
      <c r="C98" s="3" t="s">
        <v>642</v>
      </c>
      <c r="D98" s="4" t="s">
        <v>732</v>
      </c>
      <c r="E98" s="4" t="s">
        <v>771</v>
      </c>
      <c r="F98" s="4" t="s">
        <v>769</v>
      </c>
      <c r="G98" s="4" t="s">
        <v>638</v>
      </c>
      <c r="H98" s="4" t="s">
        <v>564</v>
      </c>
      <c r="I98" s="4"/>
      <c r="J98" s="4"/>
      <c r="K98" s="4"/>
      <c r="L98" s="4" t="s">
        <v>565</v>
      </c>
      <c r="M98" s="12">
        <v>58430</v>
      </c>
      <c r="N98" s="4" t="s">
        <v>644</v>
      </c>
      <c r="O98" s="4" t="s">
        <v>645</v>
      </c>
      <c r="P98" s="4" t="s">
        <v>455</v>
      </c>
    </row>
    <row r="99" spans="1:16" ht="30">
      <c r="A99" s="3" t="s">
        <v>297</v>
      </c>
      <c r="B99" s="3" t="s">
        <v>772</v>
      </c>
      <c r="C99" s="3" t="s">
        <v>773</v>
      </c>
      <c r="D99" s="4" t="s">
        <v>774</v>
      </c>
      <c r="E99" s="4" t="s">
        <v>775</v>
      </c>
      <c r="F99" s="4" t="s">
        <v>776</v>
      </c>
      <c r="G99" s="4" t="s">
        <v>14</v>
      </c>
      <c r="H99" s="4" t="s">
        <v>564</v>
      </c>
      <c r="I99" s="4"/>
      <c r="J99" s="4"/>
      <c r="K99" s="4"/>
      <c r="L99" s="4" t="s">
        <v>565</v>
      </c>
      <c r="M99" s="12">
        <v>72950</v>
      </c>
      <c r="N99" s="4" t="s">
        <v>777</v>
      </c>
      <c r="O99" s="4" t="s">
        <v>308</v>
      </c>
      <c r="P99" s="4" t="s">
        <v>455</v>
      </c>
    </row>
    <row r="100" spans="1:16" ht="30">
      <c r="A100" s="3" t="s">
        <v>297</v>
      </c>
      <c r="B100" s="3" t="s">
        <v>778</v>
      </c>
      <c r="C100" s="3" t="s">
        <v>773</v>
      </c>
      <c r="D100" s="4" t="s">
        <v>774</v>
      </c>
      <c r="E100" s="4" t="s">
        <v>779</v>
      </c>
      <c r="F100" s="4" t="s">
        <v>776</v>
      </c>
      <c r="G100" s="4" t="s">
        <v>14</v>
      </c>
      <c r="H100" s="4" t="s">
        <v>564</v>
      </c>
      <c r="I100" s="4"/>
      <c r="J100" s="4"/>
      <c r="K100" s="4"/>
      <c r="L100" s="4" t="s">
        <v>565</v>
      </c>
      <c r="M100" s="12">
        <v>67950</v>
      </c>
      <c r="N100" s="4" t="s">
        <v>777</v>
      </c>
      <c r="O100" s="4" t="s">
        <v>308</v>
      </c>
      <c r="P100" s="4" t="s">
        <v>455</v>
      </c>
    </row>
    <row r="101" spans="1:16" ht="30">
      <c r="A101" s="3" t="s">
        <v>297</v>
      </c>
      <c r="B101" s="3" t="s">
        <v>780</v>
      </c>
      <c r="C101" s="3" t="s">
        <v>773</v>
      </c>
      <c r="D101" s="4" t="s">
        <v>774</v>
      </c>
      <c r="E101" s="4" t="s">
        <v>781</v>
      </c>
      <c r="F101" s="4" t="s">
        <v>776</v>
      </c>
      <c r="G101" s="4" t="s">
        <v>14</v>
      </c>
      <c r="H101" s="4" t="s">
        <v>564</v>
      </c>
      <c r="I101" s="4"/>
      <c r="J101" s="4"/>
      <c r="K101" s="4"/>
      <c r="L101" s="4" t="s">
        <v>565</v>
      </c>
      <c r="M101" s="12">
        <v>79950</v>
      </c>
      <c r="N101" s="4" t="s">
        <v>777</v>
      </c>
      <c r="O101" s="4" t="s">
        <v>308</v>
      </c>
      <c r="P101" s="4" t="s">
        <v>455</v>
      </c>
    </row>
    <row r="102" spans="1:16" ht="30">
      <c r="A102" s="3" t="s">
        <v>297</v>
      </c>
      <c r="B102" s="3" t="s">
        <v>782</v>
      </c>
      <c r="C102" s="3" t="s">
        <v>773</v>
      </c>
      <c r="D102" s="4" t="s">
        <v>774</v>
      </c>
      <c r="E102" s="4" t="s">
        <v>783</v>
      </c>
      <c r="F102" s="4" t="s">
        <v>776</v>
      </c>
      <c r="G102" s="4" t="s">
        <v>14</v>
      </c>
      <c r="H102" s="4" t="s">
        <v>564</v>
      </c>
      <c r="I102" s="4"/>
      <c r="J102" s="4"/>
      <c r="K102" s="4"/>
      <c r="L102" s="4" t="s">
        <v>565</v>
      </c>
      <c r="M102" s="12">
        <v>109950</v>
      </c>
      <c r="N102" s="4" t="s">
        <v>777</v>
      </c>
      <c r="O102" s="4" t="s">
        <v>308</v>
      </c>
      <c r="P102" s="4" t="s">
        <v>455</v>
      </c>
    </row>
    <row r="103" spans="1:16" ht="15">
      <c r="A103" s="3" t="s">
        <v>297</v>
      </c>
      <c r="B103" s="3" t="s">
        <v>784</v>
      </c>
      <c r="C103" s="3" t="s">
        <v>587</v>
      </c>
      <c r="D103" s="4" t="s">
        <v>774</v>
      </c>
      <c r="E103" s="4" t="s">
        <v>299</v>
      </c>
      <c r="F103" s="4" t="s">
        <v>776</v>
      </c>
      <c r="G103" s="4" t="s">
        <v>14</v>
      </c>
      <c r="H103" s="4" t="s">
        <v>564</v>
      </c>
      <c r="I103" s="4"/>
      <c r="J103" s="4"/>
      <c r="K103" s="4"/>
      <c r="L103" s="4" t="s">
        <v>565</v>
      </c>
      <c r="M103" s="12">
        <v>78000</v>
      </c>
      <c r="N103" s="4" t="s">
        <v>589</v>
      </c>
      <c r="O103" s="4" t="s">
        <v>590</v>
      </c>
      <c r="P103" s="4" t="s">
        <v>455</v>
      </c>
    </row>
    <row r="104" spans="1:16" ht="30">
      <c r="A104" s="3" t="s">
        <v>310</v>
      </c>
      <c r="B104" s="3" t="s">
        <v>785</v>
      </c>
      <c r="C104" s="3" t="s">
        <v>568</v>
      </c>
      <c r="D104" s="4" t="s">
        <v>765</v>
      </c>
      <c r="E104" s="4" t="s">
        <v>311</v>
      </c>
      <c r="F104" s="4" t="s">
        <v>126</v>
      </c>
      <c r="G104" s="4" t="s">
        <v>14</v>
      </c>
      <c r="H104" s="4" t="s">
        <v>564</v>
      </c>
      <c r="I104" s="4"/>
      <c r="J104" s="4">
        <v>24</v>
      </c>
      <c r="K104" s="4">
        <v>10000</v>
      </c>
      <c r="L104" s="4" t="s">
        <v>627</v>
      </c>
      <c r="M104" s="12">
        <v>63900</v>
      </c>
      <c r="N104" s="4" t="s">
        <v>570</v>
      </c>
      <c r="O104" s="4" t="s">
        <v>108</v>
      </c>
      <c r="P104" s="4" t="s">
        <v>455</v>
      </c>
    </row>
    <row r="105" spans="1:16" ht="30">
      <c r="A105" s="3" t="s">
        <v>310</v>
      </c>
      <c r="B105" s="3" t="s">
        <v>786</v>
      </c>
      <c r="C105" s="3" t="s">
        <v>773</v>
      </c>
      <c r="D105" s="4" t="s">
        <v>765</v>
      </c>
      <c r="E105" s="4" t="s">
        <v>787</v>
      </c>
      <c r="F105" s="4" t="s">
        <v>126</v>
      </c>
      <c r="G105" s="4" t="s">
        <v>14</v>
      </c>
      <c r="H105" s="4" t="s">
        <v>564</v>
      </c>
      <c r="I105" s="4"/>
      <c r="J105" s="4"/>
      <c r="K105" s="4"/>
      <c r="L105" s="4" t="s">
        <v>565</v>
      </c>
      <c r="M105" s="12">
        <v>65950</v>
      </c>
      <c r="N105" s="4" t="s">
        <v>777</v>
      </c>
      <c r="O105" s="4" t="s">
        <v>308</v>
      </c>
      <c r="P105" s="4" t="s">
        <v>455</v>
      </c>
    </row>
    <row r="106" spans="1:16" ht="30">
      <c r="A106" s="3" t="s">
        <v>320</v>
      </c>
      <c r="B106" s="3" t="s">
        <v>788</v>
      </c>
      <c r="C106" s="3" t="s">
        <v>535</v>
      </c>
      <c r="D106" s="4" t="s">
        <v>321</v>
      </c>
      <c r="E106" s="4" t="s">
        <v>789</v>
      </c>
      <c r="F106" s="4" t="s">
        <v>790</v>
      </c>
      <c r="G106" s="4" t="s">
        <v>6</v>
      </c>
      <c r="H106" s="4" t="s">
        <v>564</v>
      </c>
      <c r="I106" s="4"/>
      <c r="J106" s="4"/>
      <c r="K106" s="4"/>
      <c r="L106" s="4" t="s">
        <v>565</v>
      </c>
      <c r="M106" s="12">
        <v>111001</v>
      </c>
      <c r="N106" s="4" t="s">
        <v>573</v>
      </c>
      <c r="O106" s="4" t="s">
        <v>295</v>
      </c>
      <c r="P106" s="4" t="s">
        <v>455</v>
      </c>
    </row>
    <row r="107" spans="1:16" ht="30">
      <c r="A107" s="3" t="s">
        <v>320</v>
      </c>
      <c r="B107" s="3" t="s">
        <v>791</v>
      </c>
      <c r="C107" s="3" t="s">
        <v>581</v>
      </c>
      <c r="D107" s="4" t="s">
        <v>321</v>
      </c>
      <c r="E107" s="4" t="s">
        <v>322</v>
      </c>
      <c r="F107" s="4" t="s">
        <v>790</v>
      </c>
      <c r="G107" s="4" t="s">
        <v>6</v>
      </c>
      <c r="H107" s="4" t="s">
        <v>564</v>
      </c>
      <c r="I107" s="4">
        <v>2026</v>
      </c>
      <c r="J107" s="4">
        <v>24</v>
      </c>
      <c r="K107" s="4">
        <v>10000</v>
      </c>
      <c r="L107" s="4" t="s">
        <v>583</v>
      </c>
      <c r="M107" s="12">
        <v>102201</v>
      </c>
      <c r="N107" s="4" t="s">
        <v>584</v>
      </c>
      <c r="O107" s="4" t="s">
        <v>585</v>
      </c>
      <c r="P107" s="4" t="s">
        <v>455</v>
      </c>
    </row>
    <row r="108" spans="1:16" ht="30">
      <c r="A108" s="3" t="s">
        <v>320</v>
      </c>
      <c r="B108" s="3" t="s">
        <v>792</v>
      </c>
      <c r="C108" s="3" t="s">
        <v>587</v>
      </c>
      <c r="D108" s="4" t="s">
        <v>321</v>
      </c>
      <c r="E108" s="4" t="s">
        <v>322</v>
      </c>
      <c r="F108" s="4" t="s">
        <v>790</v>
      </c>
      <c r="G108" s="4" t="s">
        <v>6</v>
      </c>
      <c r="H108" s="4" t="s">
        <v>564</v>
      </c>
      <c r="I108" s="4"/>
      <c r="J108" s="4"/>
      <c r="K108" s="4"/>
      <c r="L108" s="4" t="s">
        <v>565</v>
      </c>
      <c r="M108" s="12">
        <v>125000</v>
      </c>
      <c r="N108" s="4" t="s">
        <v>589</v>
      </c>
      <c r="O108" s="4" t="s">
        <v>590</v>
      </c>
      <c r="P108" s="4" t="s">
        <v>455</v>
      </c>
    </row>
    <row r="109" spans="1:16" ht="30">
      <c r="A109" s="3" t="s">
        <v>320</v>
      </c>
      <c r="B109" s="3" t="s">
        <v>793</v>
      </c>
      <c r="C109" s="3" t="s">
        <v>611</v>
      </c>
      <c r="D109" s="4" t="s">
        <v>321</v>
      </c>
      <c r="E109" s="4" t="s">
        <v>789</v>
      </c>
      <c r="F109" s="4" t="s">
        <v>790</v>
      </c>
      <c r="G109" s="4" t="s">
        <v>577</v>
      </c>
      <c r="H109" s="4" t="s">
        <v>577</v>
      </c>
      <c r="I109" s="4"/>
      <c r="J109" s="4"/>
      <c r="K109" s="4"/>
      <c r="L109" s="4" t="s">
        <v>565</v>
      </c>
      <c r="M109" s="12">
        <v>85300</v>
      </c>
      <c r="N109" s="4" t="s">
        <v>617</v>
      </c>
      <c r="O109" s="4" t="s">
        <v>614</v>
      </c>
      <c r="P109" s="4" t="s">
        <v>455</v>
      </c>
    </row>
    <row r="110" spans="1:16" ht="30">
      <c r="A110" s="3" t="s">
        <v>332</v>
      </c>
      <c r="B110" s="3" t="s">
        <v>794</v>
      </c>
      <c r="C110" s="3" t="s">
        <v>562</v>
      </c>
      <c r="D110" s="4" t="s">
        <v>647</v>
      </c>
      <c r="E110" s="4" t="s">
        <v>795</v>
      </c>
      <c r="F110" s="4" t="s">
        <v>796</v>
      </c>
      <c r="G110" s="4" t="s">
        <v>12</v>
      </c>
      <c r="H110" s="4" t="s">
        <v>558</v>
      </c>
      <c r="I110" s="4">
        <v>2026</v>
      </c>
      <c r="J110" s="4"/>
      <c r="K110" s="4"/>
      <c r="L110" s="4" t="s">
        <v>565</v>
      </c>
      <c r="M110" s="12">
        <v>28900</v>
      </c>
      <c r="N110" s="4" t="s">
        <v>566</v>
      </c>
      <c r="O110" s="4" t="s">
        <v>93</v>
      </c>
      <c r="P110" s="4" t="s">
        <v>455</v>
      </c>
    </row>
    <row r="111" spans="1:16" ht="30">
      <c r="A111" s="3" t="s">
        <v>332</v>
      </c>
      <c r="B111" s="3" t="s">
        <v>797</v>
      </c>
      <c r="C111" s="3" t="s">
        <v>535</v>
      </c>
      <c r="D111" s="4" t="s">
        <v>647</v>
      </c>
      <c r="E111" s="4" t="s">
        <v>798</v>
      </c>
      <c r="F111" s="4" t="s">
        <v>796</v>
      </c>
      <c r="G111" s="4" t="s">
        <v>12</v>
      </c>
      <c r="H111" s="4" t="s">
        <v>558</v>
      </c>
      <c r="I111" s="4"/>
      <c r="J111" s="4"/>
      <c r="K111" s="4"/>
      <c r="L111" s="4" t="s">
        <v>565</v>
      </c>
      <c r="M111" s="12">
        <v>39472</v>
      </c>
      <c r="N111" s="4" t="s">
        <v>573</v>
      </c>
      <c r="O111" s="4" t="s">
        <v>295</v>
      </c>
      <c r="P111" s="4" t="s">
        <v>455</v>
      </c>
    </row>
    <row r="112" spans="1:16" ht="30">
      <c r="A112" s="3" t="s">
        <v>332</v>
      </c>
      <c r="B112" s="3" t="s">
        <v>799</v>
      </c>
      <c r="C112" s="3" t="s">
        <v>642</v>
      </c>
      <c r="D112" s="4" t="s">
        <v>647</v>
      </c>
      <c r="E112" s="4" t="s">
        <v>800</v>
      </c>
      <c r="F112" s="4" t="s">
        <v>796</v>
      </c>
      <c r="G112" s="4" t="s">
        <v>12</v>
      </c>
      <c r="H112" s="4" t="s">
        <v>558</v>
      </c>
      <c r="I112" s="4"/>
      <c r="J112" s="4"/>
      <c r="K112" s="4"/>
      <c r="L112" s="4" t="s">
        <v>565</v>
      </c>
      <c r="M112" s="12">
        <v>31265</v>
      </c>
      <c r="N112" s="4" t="s">
        <v>644</v>
      </c>
      <c r="O112" s="4" t="s">
        <v>645</v>
      </c>
      <c r="P112" s="4" t="s">
        <v>455</v>
      </c>
    </row>
    <row r="113" spans="1:16" ht="30">
      <c r="A113" s="3" t="s">
        <v>343</v>
      </c>
      <c r="B113" s="3" t="s">
        <v>801</v>
      </c>
      <c r="C113" s="3" t="s">
        <v>562</v>
      </c>
      <c r="D113" s="4" t="s">
        <v>647</v>
      </c>
      <c r="E113" s="4" t="s">
        <v>802</v>
      </c>
      <c r="F113" s="4" t="s">
        <v>803</v>
      </c>
      <c r="G113" s="4" t="s">
        <v>12</v>
      </c>
      <c r="H113" s="4" t="s">
        <v>564</v>
      </c>
      <c r="I113" s="4">
        <v>2026</v>
      </c>
      <c r="J113" s="4"/>
      <c r="K113" s="4"/>
      <c r="L113" s="4" t="s">
        <v>565</v>
      </c>
      <c r="M113" s="12">
        <v>35500</v>
      </c>
      <c r="N113" s="4" t="s">
        <v>566</v>
      </c>
      <c r="O113" s="4" t="s">
        <v>93</v>
      </c>
      <c r="P113" s="4" t="s">
        <v>455</v>
      </c>
    </row>
    <row r="114" spans="1:16" ht="30">
      <c r="A114" s="3" t="s">
        <v>343</v>
      </c>
      <c r="B114" s="3" t="s">
        <v>804</v>
      </c>
      <c r="C114" s="3" t="s">
        <v>562</v>
      </c>
      <c r="D114" s="4" t="s">
        <v>647</v>
      </c>
      <c r="E114" s="4" t="s">
        <v>805</v>
      </c>
      <c r="F114" s="4" t="s">
        <v>803</v>
      </c>
      <c r="G114" s="4" t="s">
        <v>12</v>
      </c>
      <c r="H114" s="4" t="s">
        <v>558</v>
      </c>
      <c r="I114" s="4">
        <v>2026</v>
      </c>
      <c r="J114" s="4"/>
      <c r="K114" s="4"/>
      <c r="L114" s="4" t="s">
        <v>565</v>
      </c>
      <c r="M114" s="12">
        <v>31900</v>
      </c>
      <c r="N114" s="4" t="s">
        <v>566</v>
      </c>
      <c r="O114" s="4" t="s">
        <v>93</v>
      </c>
      <c r="P114" s="4" t="s">
        <v>455</v>
      </c>
    </row>
    <row r="115" spans="1:16" ht="30">
      <c r="A115" s="3" t="s">
        <v>343</v>
      </c>
      <c r="B115" s="3" t="s">
        <v>806</v>
      </c>
      <c r="C115" s="3" t="s">
        <v>651</v>
      </c>
      <c r="D115" s="4" t="s">
        <v>647</v>
      </c>
      <c r="E115" s="4" t="s">
        <v>807</v>
      </c>
      <c r="F115" s="4" t="s">
        <v>803</v>
      </c>
      <c r="G115" s="4" t="s">
        <v>12</v>
      </c>
      <c r="H115" s="4" t="s">
        <v>558</v>
      </c>
      <c r="I115" s="4"/>
      <c r="J115" s="4"/>
      <c r="K115" s="4"/>
      <c r="L115" s="4" t="s">
        <v>565</v>
      </c>
      <c r="M115" s="12">
        <v>27360</v>
      </c>
      <c r="N115" s="4" t="s">
        <v>653</v>
      </c>
      <c r="O115" s="4" t="s">
        <v>275</v>
      </c>
      <c r="P115" s="4" t="s">
        <v>455</v>
      </c>
    </row>
    <row r="116" spans="1:16" ht="30">
      <c r="A116" s="3" t="s">
        <v>343</v>
      </c>
      <c r="B116" s="3" t="s">
        <v>808</v>
      </c>
      <c r="C116" s="3" t="s">
        <v>535</v>
      </c>
      <c r="D116" s="4" t="s">
        <v>647</v>
      </c>
      <c r="E116" s="4" t="s">
        <v>809</v>
      </c>
      <c r="F116" s="4" t="s">
        <v>803</v>
      </c>
      <c r="G116" s="4" t="s">
        <v>12</v>
      </c>
      <c r="H116" s="4" t="s">
        <v>564</v>
      </c>
      <c r="I116" s="4"/>
      <c r="J116" s="4"/>
      <c r="K116" s="4"/>
      <c r="L116" s="4" t="s">
        <v>565</v>
      </c>
      <c r="M116" s="12">
        <v>39000</v>
      </c>
      <c r="N116" s="4" t="s">
        <v>573</v>
      </c>
      <c r="O116" s="4" t="s">
        <v>295</v>
      </c>
      <c r="P116" s="4" t="s">
        <v>455</v>
      </c>
    </row>
    <row r="117" spans="1:16" ht="30">
      <c r="A117" s="3" t="s">
        <v>343</v>
      </c>
      <c r="B117" s="3" t="s">
        <v>810</v>
      </c>
      <c r="C117" s="3" t="s">
        <v>535</v>
      </c>
      <c r="D117" s="4" t="s">
        <v>647</v>
      </c>
      <c r="E117" s="4" t="s">
        <v>811</v>
      </c>
      <c r="F117" s="4" t="s">
        <v>803</v>
      </c>
      <c r="G117" s="4" t="s">
        <v>12</v>
      </c>
      <c r="H117" s="4" t="s">
        <v>558</v>
      </c>
      <c r="I117" s="4"/>
      <c r="J117" s="4"/>
      <c r="K117" s="4"/>
      <c r="L117" s="4" t="s">
        <v>565</v>
      </c>
      <c r="M117" s="12">
        <v>40511</v>
      </c>
      <c r="N117" s="4" t="s">
        <v>573</v>
      </c>
      <c r="O117" s="4" t="s">
        <v>295</v>
      </c>
      <c r="P117" s="4" t="s">
        <v>455</v>
      </c>
    </row>
    <row r="118" spans="1:16" ht="30">
      <c r="A118" s="3" t="s">
        <v>343</v>
      </c>
      <c r="B118" s="3" t="s">
        <v>812</v>
      </c>
      <c r="C118" s="3" t="s">
        <v>642</v>
      </c>
      <c r="D118" s="4" t="s">
        <v>647</v>
      </c>
      <c r="E118" s="4" t="s">
        <v>813</v>
      </c>
      <c r="F118" s="4" t="s">
        <v>803</v>
      </c>
      <c r="G118" s="4" t="s">
        <v>12</v>
      </c>
      <c r="H118" s="4" t="s">
        <v>558</v>
      </c>
      <c r="I118" s="4"/>
      <c r="J118" s="4"/>
      <c r="K118" s="4"/>
      <c r="L118" s="4" t="s">
        <v>565</v>
      </c>
      <c r="M118" s="12">
        <v>36645</v>
      </c>
      <c r="N118" s="4" t="s">
        <v>644</v>
      </c>
      <c r="O118" s="4" t="s">
        <v>645</v>
      </c>
      <c r="P118" s="4" t="s">
        <v>455</v>
      </c>
    </row>
    <row r="119" spans="1:16" ht="30">
      <c r="A119" s="3" t="s">
        <v>343</v>
      </c>
      <c r="B119" s="3" t="s">
        <v>814</v>
      </c>
      <c r="C119" s="3" t="s">
        <v>468</v>
      </c>
      <c r="D119" s="4" t="s">
        <v>647</v>
      </c>
      <c r="E119" s="4" t="s">
        <v>344</v>
      </c>
      <c r="F119" s="4" t="s">
        <v>803</v>
      </c>
      <c r="G119" s="4" t="s">
        <v>577</v>
      </c>
      <c r="H119" s="4" t="s">
        <v>577</v>
      </c>
      <c r="I119" s="4"/>
      <c r="J119" s="4">
        <v>1</v>
      </c>
      <c r="K119" s="4"/>
      <c r="L119" s="4" t="s">
        <v>592</v>
      </c>
      <c r="M119" s="12">
        <v>45000</v>
      </c>
      <c r="N119" s="4" t="s">
        <v>593</v>
      </c>
      <c r="O119" s="4" t="s">
        <v>133</v>
      </c>
      <c r="P119" s="4" t="s">
        <v>455</v>
      </c>
    </row>
    <row r="120" spans="1:16" ht="30">
      <c r="A120" s="3" t="s">
        <v>354</v>
      </c>
      <c r="B120" s="3" t="s">
        <v>815</v>
      </c>
      <c r="C120" s="3" t="s">
        <v>541</v>
      </c>
      <c r="D120" s="4" t="s">
        <v>647</v>
      </c>
      <c r="E120" s="4" t="s">
        <v>816</v>
      </c>
      <c r="F120" s="4" t="s">
        <v>357</v>
      </c>
      <c r="G120" s="4" t="s">
        <v>12</v>
      </c>
      <c r="H120" s="4" t="s">
        <v>558</v>
      </c>
      <c r="I120" s="4"/>
      <c r="J120" s="4"/>
      <c r="K120" s="4">
        <v>4000</v>
      </c>
      <c r="L120" s="4" t="s">
        <v>559</v>
      </c>
      <c r="M120" s="12">
        <v>41666</v>
      </c>
      <c r="N120" s="4" t="s">
        <v>560</v>
      </c>
      <c r="O120" s="4" t="s">
        <v>80</v>
      </c>
      <c r="P120" s="4" t="s">
        <v>455</v>
      </c>
    </row>
    <row r="121" spans="1:16" ht="30">
      <c r="A121" s="3" t="s">
        <v>354</v>
      </c>
      <c r="B121" s="3" t="s">
        <v>817</v>
      </c>
      <c r="C121" s="3" t="s">
        <v>562</v>
      </c>
      <c r="D121" s="4" t="s">
        <v>647</v>
      </c>
      <c r="E121" s="4" t="s">
        <v>818</v>
      </c>
      <c r="F121" s="4" t="s">
        <v>357</v>
      </c>
      <c r="G121" s="4" t="s">
        <v>12</v>
      </c>
      <c r="H121" s="4" t="s">
        <v>558</v>
      </c>
      <c r="I121" s="4">
        <v>2026</v>
      </c>
      <c r="J121" s="4"/>
      <c r="K121" s="4"/>
      <c r="L121" s="4" t="s">
        <v>565</v>
      </c>
      <c r="M121" s="12">
        <v>35350</v>
      </c>
      <c r="N121" s="4" t="s">
        <v>566</v>
      </c>
      <c r="O121" s="4" t="s">
        <v>93</v>
      </c>
      <c r="P121" s="4" t="s">
        <v>455</v>
      </c>
    </row>
    <row r="122" spans="1:16" ht="30">
      <c r="A122" s="3" t="s">
        <v>354</v>
      </c>
      <c r="B122" s="3" t="s">
        <v>819</v>
      </c>
      <c r="C122" s="3" t="s">
        <v>535</v>
      </c>
      <c r="D122" s="4" t="s">
        <v>647</v>
      </c>
      <c r="E122" s="4" t="s">
        <v>820</v>
      </c>
      <c r="F122" s="4" t="s">
        <v>357</v>
      </c>
      <c r="G122" s="4" t="s">
        <v>12</v>
      </c>
      <c r="H122" s="4" t="s">
        <v>558</v>
      </c>
      <c r="I122" s="4"/>
      <c r="J122" s="4"/>
      <c r="K122" s="4"/>
      <c r="L122" s="4" t="s">
        <v>565</v>
      </c>
      <c r="M122" s="12">
        <v>45327</v>
      </c>
      <c r="N122" s="4" t="s">
        <v>573</v>
      </c>
      <c r="O122" s="4" t="s">
        <v>295</v>
      </c>
      <c r="P122" s="4" t="s">
        <v>455</v>
      </c>
    </row>
    <row r="123" spans="1:16" ht="30">
      <c r="A123" s="3" t="s">
        <v>364</v>
      </c>
      <c r="B123" s="3" t="s">
        <v>821</v>
      </c>
      <c r="C123" s="3" t="s">
        <v>535</v>
      </c>
      <c r="D123" s="4" t="s">
        <v>822</v>
      </c>
      <c r="E123" s="4" t="s">
        <v>823</v>
      </c>
      <c r="F123" s="4" t="s">
        <v>824</v>
      </c>
      <c r="G123" s="4" t="s">
        <v>6</v>
      </c>
      <c r="H123" s="4" t="s">
        <v>558</v>
      </c>
      <c r="I123" s="4"/>
      <c r="J123" s="4"/>
      <c r="K123" s="4"/>
      <c r="L123" s="4" t="s">
        <v>565</v>
      </c>
      <c r="M123" s="12">
        <v>28000</v>
      </c>
      <c r="N123" s="4" t="s">
        <v>573</v>
      </c>
      <c r="O123" s="4" t="s">
        <v>295</v>
      </c>
      <c r="P123" s="4" t="s">
        <v>455</v>
      </c>
    </row>
    <row r="124" spans="1:16" ht="30">
      <c r="A124" s="3" t="s">
        <v>364</v>
      </c>
      <c r="B124" s="3" t="s">
        <v>825</v>
      </c>
      <c r="C124" s="3" t="s">
        <v>535</v>
      </c>
      <c r="D124" s="4" t="s">
        <v>822</v>
      </c>
      <c r="E124" s="4" t="s">
        <v>826</v>
      </c>
      <c r="F124" s="4" t="s">
        <v>824</v>
      </c>
      <c r="G124" s="4" t="s">
        <v>6</v>
      </c>
      <c r="H124" s="4" t="s">
        <v>558</v>
      </c>
      <c r="I124" s="4"/>
      <c r="J124" s="4"/>
      <c r="K124" s="4"/>
      <c r="L124" s="4" t="s">
        <v>565</v>
      </c>
      <c r="M124" s="12">
        <v>28000</v>
      </c>
      <c r="N124" s="4" t="s">
        <v>573</v>
      </c>
      <c r="O124" s="4" t="s">
        <v>295</v>
      </c>
      <c r="P124" s="4" t="s">
        <v>455</v>
      </c>
    </row>
    <row r="125" spans="1:16" ht="30">
      <c r="A125" s="3" t="s">
        <v>364</v>
      </c>
      <c r="B125" s="3" t="s">
        <v>827</v>
      </c>
      <c r="C125" s="3" t="s">
        <v>535</v>
      </c>
      <c r="D125" s="4" t="s">
        <v>822</v>
      </c>
      <c r="E125" s="4" t="s">
        <v>828</v>
      </c>
      <c r="F125" s="4" t="s">
        <v>824</v>
      </c>
      <c r="G125" s="4" t="s">
        <v>6</v>
      </c>
      <c r="H125" s="4" t="s">
        <v>558</v>
      </c>
      <c r="I125" s="4"/>
      <c r="J125" s="4"/>
      <c r="K125" s="4"/>
      <c r="L125" s="4" t="s">
        <v>565</v>
      </c>
      <c r="M125" s="12">
        <v>33000</v>
      </c>
      <c r="N125" s="4" t="s">
        <v>573</v>
      </c>
      <c r="O125" s="4" t="s">
        <v>295</v>
      </c>
      <c r="P125" s="4" t="s">
        <v>455</v>
      </c>
    </row>
    <row r="126" spans="1:16" ht="30">
      <c r="A126" s="3" t="s">
        <v>364</v>
      </c>
      <c r="B126" s="3" t="s">
        <v>829</v>
      </c>
      <c r="C126" s="3" t="s">
        <v>535</v>
      </c>
      <c r="D126" s="4" t="s">
        <v>822</v>
      </c>
      <c r="E126" s="4" t="s">
        <v>830</v>
      </c>
      <c r="F126" s="4" t="s">
        <v>824</v>
      </c>
      <c r="G126" s="4" t="s">
        <v>12</v>
      </c>
      <c r="H126" s="4" t="s">
        <v>558</v>
      </c>
      <c r="I126" s="4"/>
      <c r="J126" s="4"/>
      <c r="K126" s="4"/>
      <c r="L126" s="4" t="s">
        <v>565</v>
      </c>
      <c r="M126" s="12">
        <v>55569</v>
      </c>
      <c r="N126" s="4" t="s">
        <v>573</v>
      </c>
      <c r="O126" s="4" t="s">
        <v>295</v>
      </c>
      <c r="P126" s="4" t="s">
        <v>455</v>
      </c>
    </row>
    <row r="127" spans="1:16" ht="30">
      <c r="A127" s="3" t="s">
        <v>375</v>
      </c>
      <c r="B127" s="3" t="s">
        <v>831</v>
      </c>
      <c r="C127" s="3" t="s">
        <v>535</v>
      </c>
      <c r="D127" s="4" t="s">
        <v>822</v>
      </c>
      <c r="E127" s="4" t="s">
        <v>832</v>
      </c>
      <c r="F127" s="4" t="s">
        <v>357</v>
      </c>
      <c r="G127" s="4" t="s">
        <v>12</v>
      </c>
      <c r="H127" s="4" t="s">
        <v>558</v>
      </c>
      <c r="I127" s="4"/>
      <c r="J127" s="4"/>
      <c r="K127" s="4"/>
      <c r="L127" s="4" t="s">
        <v>565</v>
      </c>
      <c r="M127" s="12">
        <v>59347</v>
      </c>
      <c r="N127" s="4" t="s">
        <v>573</v>
      </c>
      <c r="O127" s="4" t="s">
        <v>295</v>
      </c>
      <c r="P127" s="4" t="s">
        <v>455</v>
      </c>
    </row>
    <row r="128" spans="1:16" ht="30">
      <c r="A128" s="3" t="s">
        <v>375</v>
      </c>
      <c r="B128" s="3" t="s">
        <v>833</v>
      </c>
      <c r="C128" s="3" t="s">
        <v>535</v>
      </c>
      <c r="D128" s="4" t="s">
        <v>822</v>
      </c>
      <c r="E128" s="4" t="s">
        <v>834</v>
      </c>
      <c r="F128" s="4" t="s">
        <v>357</v>
      </c>
      <c r="G128" s="4" t="s">
        <v>12</v>
      </c>
      <c r="H128" s="4" t="s">
        <v>558</v>
      </c>
      <c r="I128" s="4"/>
      <c r="J128" s="4"/>
      <c r="K128" s="4"/>
      <c r="L128" s="4" t="s">
        <v>565</v>
      </c>
      <c r="M128" s="12">
        <v>60958</v>
      </c>
      <c r="N128" s="4" t="s">
        <v>573</v>
      </c>
      <c r="O128" s="4" t="s">
        <v>295</v>
      </c>
      <c r="P128" s="4" t="s">
        <v>455</v>
      </c>
    </row>
    <row r="129" spans="1:16" ht="30">
      <c r="A129" s="3" t="s">
        <v>375</v>
      </c>
      <c r="B129" s="3" t="s">
        <v>835</v>
      </c>
      <c r="C129" s="3" t="s">
        <v>535</v>
      </c>
      <c r="D129" s="4" t="s">
        <v>822</v>
      </c>
      <c r="E129" s="4" t="s">
        <v>836</v>
      </c>
      <c r="F129" s="4" t="s">
        <v>357</v>
      </c>
      <c r="G129" s="4" t="s">
        <v>12</v>
      </c>
      <c r="H129" s="4" t="s">
        <v>558</v>
      </c>
      <c r="I129" s="4"/>
      <c r="J129" s="4"/>
      <c r="K129" s="4"/>
      <c r="L129" s="4" t="s">
        <v>565</v>
      </c>
      <c r="M129" s="12">
        <v>62463</v>
      </c>
      <c r="N129" s="4" t="s">
        <v>573</v>
      </c>
      <c r="O129" s="4" t="s">
        <v>295</v>
      </c>
      <c r="P129" s="4" t="s">
        <v>455</v>
      </c>
    </row>
    <row r="130" spans="1:16" ht="30">
      <c r="A130" s="3" t="s">
        <v>385</v>
      </c>
      <c r="B130" s="3" t="s">
        <v>837</v>
      </c>
      <c r="C130" s="3" t="s">
        <v>541</v>
      </c>
      <c r="D130" s="4" t="s">
        <v>822</v>
      </c>
      <c r="E130" s="4" t="s">
        <v>838</v>
      </c>
      <c r="F130" s="4" t="s">
        <v>388</v>
      </c>
      <c r="G130" s="4" t="s">
        <v>12</v>
      </c>
      <c r="H130" s="4" t="s">
        <v>558</v>
      </c>
      <c r="I130" s="4"/>
      <c r="J130" s="4"/>
      <c r="K130" s="4">
        <v>4000</v>
      </c>
      <c r="L130" s="4" t="s">
        <v>559</v>
      </c>
      <c r="M130" s="12">
        <v>45833</v>
      </c>
      <c r="N130" s="4" t="s">
        <v>560</v>
      </c>
      <c r="O130" s="4" t="s">
        <v>80</v>
      </c>
      <c r="P130" s="4" t="s">
        <v>455</v>
      </c>
    </row>
    <row r="131" spans="1:16" ht="30">
      <c r="A131" s="3" t="s">
        <v>385</v>
      </c>
      <c r="B131" s="3" t="s">
        <v>839</v>
      </c>
      <c r="C131" s="3" t="s">
        <v>535</v>
      </c>
      <c r="D131" s="4" t="s">
        <v>822</v>
      </c>
      <c r="E131" s="4" t="s">
        <v>840</v>
      </c>
      <c r="F131" s="4" t="s">
        <v>388</v>
      </c>
      <c r="G131" s="4" t="s">
        <v>12</v>
      </c>
      <c r="H131" s="4" t="s">
        <v>558</v>
      </c>
      <c r="I131" s="4"/>
      <c r="J131" s="4"/>
      <c r="K131" s="4"/>
      <c r="L131" s="4" t="s">
        <v>565</v>
      </c>
      <c r="M131" s="12">
        <v>60290</v>
      </c>
      <c r="N131" s="4" t="s">
        <v>573</v>
      </c>
      <c r="O131" s="4" t="s">
        <v>295</v>
      </c>
      <c r="P131" s="4" t="s">
        <v>455</v>
      </c>
    </row>
    <row r="132" spans="1:16" ht="30">
      <c r="A132" s="3" t="s">
        <v>385</v>
      </c>
      <c r="B132" s="3" t="s">
        <v>841</v>
      </c>
      <c r="C132" s="3" t="s">
        <v>535</v>
      </c>
      <c r="D132" s="4" t="s">
        <v>822</v>
      </c>
      <c r="E132" s="4" t="s">
        <v>842</v>
      </c>
      <c r="F132" s="4" t="s">
        <v>388</v>
      </c>
      <c r="G132" s="4" t="s">
        <v>12</v>
      </c>
      <c r="H132" s="4" t="s">
        <v>558</v>
      </c>
      <c r="I132" s="4"/>
      <c r="J132" s="4"/>
      <c r="K132" s="4"/>
      <c r="L132" s="4" t="s">
        <v>565</v>
      </c>
      <c r="M132" s="12">
        <v>64730</v>
      </c>
      <c r="N132" s="4" t="s">
        <v>573</v>
      </c>
      <c r="O132" s="4" t="s">
        <v>295</v>
      </c>
      <c r="P132" s="4" t="s">
        <v>455</v>
      </c>
    </row>
    <row r="133" spans="1:16" ht="30">
      <c r="A133" s="3" t="s">
        <v>385</v>
      </c>
      <c r="B133" s="3" t="s">
        <v>843</v>
      </c>
      <c r="C133" s="3" t="s">
        <v>535</v>
      </c>
      <c r="D133" s="4" t="s">
        <v>822</v>
      </c>
      <c r="E133" s="4" t="s">
        <v>844</v>
      </c>
      <c r="F133" s="4" t="s">
        <v>388</v>
      </c>
      <c r="G133" s="4" t="s">
        <v>12</v>
      </c>
      <c r="H133" s="4" t="s">
        <v>558</v>
      </c>
      <c r="I133" s="4"/>
      <c r="J133" s="4"/>
      <c r="K133" s="4"/>
      <c r="L133" s="4" t="s">
        <v>565</v>
      </c>
      <c r="M133" s="12">
        <v>67299</v>
      </c>
      <c r="N133" s="4" t="s">
        <v>573</v>
      </c>
      <c r="O133" s="4" t="s">
        <v>295</v>
      </c>
      <c r="P133" s="4" t="s">
        <v>455</v>
      </c>
    </row>
    <row r="134" spans="1:16" ht="30">
      <c r="A134" s="3" t="s">
        <v>395</v>
      </c>
      <c r="B134" s="3" t="s">
        <v>845</v>
      </c>
      <c r="C134" s="3" t="s">
        <v>541</v>
      </c>
      <c r="D134" s="4" t="s">
        <v>846</v>
      </c>
      <c r="E134" s="4" t="s">
        <v>847</v>
      </c>
      <c r="F134" s="4" t="s">
        <v>796</v>
      </c>
      <c r="G134" s="4" t="s">
        <v>12</v>
      </c>
      <c r="H134" s="4" t="s">
        <v>558</v>
      </c>
      <c r="I134" s="4"/>
      <c r="J134" s="4"/>
      <c r="K134" s="4">
        <v>4000</v>
      </c>
      <c r="L134" s="4" t="s">
        <v>559</v>
      </c>
      <c r="M134" s="12">
        <v>37500</v>
      </c>
      <c r="N134" s="4" t="s">
        <v>560</v>
      </c>
      <c r="O134" s="4" t="s">
        <v>80</v>
      </c>
      <c r="P134" s="4" t="s">
        <v>455</v>
      </c>
    </row>
    <row r="135" spans="1:16" ht="30">
      <c r="A135" s="3" t="s">
        <v>404</v>
      </c>
      <c r="B135" s="3" t="s">
        <v>848</v>
      </c>
      <c r="C135" s="3" t="s">
        <v>541</v>
      </c>
      <c r="D135" s="4" t="s">
        <v>647</v>
      </c>
      <c r="E135" s="4" t="s">
        <v>849</v>
      </c>
      <c r="F135" s="4" t="s">
        <v>388</v>
      </c>
      <c r="G135" s="4" t="s">
        <v>12</v>
      </c>
      <c r="H135" s="4" t="s">
        <v>558</v>
      </c>
      <c r="I135" s="4"/>
      <c r="J135" s="4"/>
      <c r="K135" s="4">
        <v>4000</v>
      </c>
      <c r="L135" s="4" t="s">
        <v>559</v>
      </c>
      <c r="M135" s="12">
        <v>54166</v>
      </c>
      <c r="N135" s="4" t="s">
        <v>560</v>
      </c>
      <c r="O135" s="4" t="s">
        <v>80</v>
      </c>
      <c r="P135" s="4" t="s">
        <v>455</v>
      </c>
    </row>
    <row r="136" spans="1:16" ht="30">
      <c r="A136" s="3" t="s">
        <v>404</v>
      </c>
      <c r="B136" s="3" t="s">
        <v>850</v>
      </c>
      <c r="C136" s="3" t="s">
        <v>535</v>
      </c>
      <c r="D136" s="4" t="s">
        <v>647</v>
      </c>
      <c r="E136" s="4" t="s">
        <v>851</v>
      </c>
      <c r="F136" s="4" t="s">
        <v>388</v>
      </c>
      <c r="G136" s="4" t="s">
        <v>12</v>
      </c>
      <c r="H136" s="4" t="s">
        <v>558</v>
      </c>
      <c r="I136" s="4"/>
      <c r="J136" s="4"/>
      <c r="K136" s="4"/>
      <c r="L136" s="4" t="s">
        <v>565</v>
      </c>
      <c r="M136" s="12">
        <v>49763</v>
      </c>
      <c r="N136" s="4" t="s">
        <v>573</v>
      </c>
      <c r="O136" s="4" t="s">
        <v>295</v>
      </c>
      <c r="P136" s="4" t="s">
        <v>455</v>
      </c>
    </row>
  </sheetData>
  <mergeCells count="1">
    <mergeCell ref="A1:P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workbookViewId="0">
      <selection sqref="A1:I2"/>
    </sheetView>
  </sheetViews>
  <sheetFormatPr defaultRowHeight="14.25"/>
  <cols>
    <col min="1" max="1" width="13" customWidth="1"/>
    <col min="2" max="2" width="38" customWidth="1"/>
    <col min="3" max="3" width="24" customWidth="1"/>
    <col min="4" max="5" width="58" customWidth="1"/>
    <col min="6" max="6" width="22" customWidth="1"/>
    <col min="7" max="9" width="44" customWidth="1"/>
  </cols>
  <sheetData>
    <row r="1" spans="1:9">
      <c r="A1" s="13" t="s">
        <v>852</v>
      </c>
      <c r="B1" s="13"/>
      <c r="C1" s="13"/>
      <c r="D1" s="13"/>
      <c r="E1" s="13"/>
      <c r="F1" s="13"/>
      <c r="G1" s="13"/>
      <c r="H1" s="13"/>
      <c r="I1" s="13"/>
    </row>
    <row r="2" spans="1:9">
      <c r="A2" s="13"/>
      <c r="B2" s="13"/>
      <c r="C2" s="13"/>
      <c r="D2" s="13"/>
      <c r="E2" s="13"/>
      <c r="F2" s="13"/>
      <c r="G2" s="13"/>
      <c r="H2" s="13"/>
      <c r="I2" s="13"/>
    </row>
    <row r="3" spans="1:9" ht="39.950000000000003" customHeight="1">
      <c r="A3" s="20" t="s">
        <v>853</v>
      </c>
      <c r="B3" s="20"/>
      <c r="C3" s="20"/>
      <c r="D3" s="20"/>
      <c r="E3" s="20"/>
      <c r="F3" s="20"/>
      <c r="G3" s="20"/>
      <c r="H3" s="20"/>
      <c r="I3" s="20"/>
    </row>
    <row r="4" spans="1:9" ht="15">
      <c r="A4" s="5" t="s">
        <v>33</v>
      </c>
      <c r="B4" s="5" t="s">
        <v>439</v>
      </c>
      <c r="C4" s="5" t="s">
        <v>854</v>
      </c>
      <c r="D4" s="5" t="s">
        <v>855</v>
      </c>
      <c r="E4" s="5" t="s">
        <v>856</v>
      </c>
      <c r="F4" s="5" t="s">
        <v>857</v>
      </c>
      <c r="G4" s="5" t="s">
        <v>858</v>
      </c>
      <c r="H4" s="5" t="s">
        <v>859</v>
      </c>
      <c r="I4" s="5" t="s">
        <v>860</v>
      </c>
    </row>
    <row r="5" spans="1:9" ht="105" customHeight="1">
      <c r="A5" s="3" t="s">
        <v>66</v>
      </c>
      <c r="B5" s="4" t="s">
        <v>451</v>
      </c>
      <c r="C5" s="4" t="e">
        <f ca="1">_xludf.IMAGE(D5,"Renault Clio",0)</f>
        <v>#NAME?</v>
      </c>
      <c r="D5" s="4" t="s">
        <v>78</v>
      </c>
      <c r="E5" s="4" t="s">
        <v>861</v>
      </c>
      <c r="F5" s="4" t="s">
        <v>862</v>
      </c>
      <c r="G5" s="4" t="s">
        <v>863</v>
      </c>
      <c r="H5" s="4" t="s">
        <v>864</v>
      </c>
      <c r="I5" s="4" t="s">
        <v>865</v>
      </c>
    </row>
    <row r="6" spans="1:9" ht="105" customHeight="1">
      <c r="A6" s="3" t="s">
        <v>83</v>
      </c>
      <c r="B6" s="4" t="s">
        <v>457</v>
      </c>
      <c r="C6" s="4" t="e">
        <f ca="1">_xludf.IMAGE(D6,"Hyundai i20",0)</f>
        <v>#NAME?</v>
      </c>
      <c r="D6" s="4" t="s">
        <v>91</v>
      </c>
      <c r="E6" s="4" t="s">
        <v>866</v>
      </c>
      <c r="F6" s="4" t="s">
        <v>862</v>
      </c>
      <c r="G6" s="4" t="s">
        <v>863</v>
      </c>
      <c r="H6" s="4" t="s">
        <v>864</v>
      </c>
      <c r="I6" s="4" t="s">
        <v>867</v>
      </c>
    </row>
    <row r="7" spans="1:9" ht="105" customHeight="1">
      <c r="A7" s="3" t="s">
        <v>96</v>
      </c>
      <c r="B7" s="4" t="s">
        <v>460</v>
      </c>
      <c r="C7" s="4" t="e">
        <f ca="1">_xludf.IMAGE(D7,"Opel Corsa",0)</f>
        <v>#NAME?</v>
      </c>
      <c r="D7" s="4" t="s">
        <v>106</v>
      </c>
      <c r="E7" s="4" t="s">
        <v>868</v>
      </c>
      <c r="F7" s="4" t="s">
        <v>862</v>
      </c>
      <c r="G7" s="4" t="s">
        <v>863</v>
      </c>
      <c r="H7" s="4" t="s">
        <v>864</v>
      </c>
      <c r="I7" s="4" t="s">
        <v>869</v>
      </c>
    </row>
    <row r="8" spans="1:9" ht="105" customHeight="1">
      <c r="A8" s="3" t="s">
        <v>110</v>
      </c>
      <c r="B8" s="4" t="s">
        <v>463</v>
      </c>
      <c r="C8" s="4" t="e">
        <f ca="1">_xludf.IMAGE(D8,"Fiat Egea Sedan",0)</f>
        <v>#NAME?</v>
      </c>
      <c r="D8" s="4" t="s">
        <v>119</v>
      </c>
      <c r="E8" s="4" t="s">
        <v>870</v>
      </c>
      <c r="F8" s="4" t="s">
        <v>862</v>
      </c>
      <c r="G8" s="4" t="s">
        <v>863</v>
      </c>
      <c r="H8" s="4" t="s">
        <v>871</v>
      </c>
      <c r="I8" s="4" t="s">
        <v>872</v>
      </c>
    </row>
    <row r="9" spans="1:9" ht="105" customHeight="1">
      <c r="A9" s="3" t="s">
        <v>122</v>
      </c>
      <c r="B9" s="4" t="s">
        <v>466</v>
      </c>
      <c r="C9" s="4" t="e">
        <f ca="1">_xludf.IMAGE(D9,"Škoda Kamiq",0)</f>
        <v>#NAME?</v>
      </c>
      <c r="D9" s="4" t="s">
        <v>131</v>
      </c>
      <c r="E9" s="4" t="s">
        <v>873</v>
      </c>
      <c r="F9" s="4" t="s">
        <v>862</v>
      </c>
      <c r="G9" s="4" t="s">
        <v>863</v>
      </c>
      <c r="H9" s="4" t="s">
        <v>864</v>
      </c>
      <c r="I9" s="4" t="s">
        <v>874</v>
      </c>
    </row>
    <row r="10" spans="1:9" ht="105" customHeight="1">
      <c r="A10" s="3" t="s">
        <v>135</v>
      </c>
      <c r="B10" s="4" t="s">
        <v>469</v>
      </c>
      <c r="C10" s="4" t="e">
        <f ca="1">_xludf.IMAGE(D10,"Toyota Corolla Sedan",0)</f>
        <v>#NAME?</v>
      </c>
      <c r="D10" s="4" t="s">
        <v>143</v>
      </c>
      <c r="E10" s="4" t="s">
        <v>875</v>
      </c>
      <c r="F10" s="4" t="s">
        <v>862</v>
      </c>
      <c r="G10" s="4" t="s">
        <v>863</v>
      </c>
      <c r="H10" s="4" t="s">
        <v>864</v>
      </c>
      <c r="I10" s="4" t="s">
        <v>876</v>
      </c>
    </row>
    <row r="11" spans="1:9" ht="105" customHeight="1">
      <c r="A11" s="3" t="s">
        <v>146</v>
      </c>
      <c r="B11" s="4" t="s">
        <v>472</v>
      </c>
      <c r="C11" s="4" t="e">
        <f ca="1">_xludf.IMAGE(D11,"Toyota Corolla Sedan",0)</f>
        <v>#NAME?</v>
      </c>
      <c r="D11" s="4" t="s">
        <v>153</v>
      </c>
      <c r="E11" s="4" t="s">
        <v>877</v>
      </c>
      <c r="F11" s="4" t="s">
        <v>862</v>
      </c>
      <c r="G11" s="4" t="s">
        <v>863</v>
      </c>
      <c r="H11" s="4" t="s">
        <v>864</v>
      </c>
      <c r="I11" s="4" t="s">
        <v>878</v>
      </c>
    </row>
    <row r="12" spans="1:9" ht="105" customHeight="1">
      <c r="A12" s="3" t="s">
        <v>155</v>
      </c>
      <c r="B12" s="4" t="s">
        <v>475</v>
      </c>
      <c r="C12" s="4" t="e">
        <f ca="1">_xludf.IMAGE(D12,"Renault Megane Sedan",0)</f>
        <v>#NAME?</v>
      </c>
      <c r="D12" s="4" t="s">
        <v>162</v>
      </c>
      <c r="E12" s="4" t="s">
        <v>879</v>
      </c>
      <c r="F12" s="4" t="s">
        <v>862</v>
      </c>
      <c r="G12" s="4" t="s">
        <v>863</v>
      </c>
      <c r="H12" s="4" t="s">
        <v>864</v>
      </c>
      <c r="I12" s="4" t="s">
        <v>880</v>
      </c>
    </row>
    <row r="13" spans="1:9" ht="105" customHeight="1">
      <c r="A13" s="3" t="s">
        <v>165</v>
      </c>
      <c r="B13" s="4" t="s">
        <v>478</v>
      </c>
      <c r="C13" s="4" t="e">
        <f ca="1">_xludf.IMAGE(D13,"Škoda Octavia",0)</f>
        <v>#NAME?</v>
      </c>
      <c r="D13" s="4" t="s">
        <v>172</v>
      </c>
      <c r="E13" s="4" t="s">
        <v>881</v>
      </c>
      <c r="F13" s="4" t="s">
        <v>862</v>
      </c>
      <c r="G13" s="4" t="s">
        <v>863</v>
      </c>
      <c r="H13" s="4" t="s">
        <v>864</v>
      </c>
      <c r="I13" s="4" t="s">
        <v>882</v>
      </c>
    </row>
    <row r="14" spans="1:9" ht="105" customHeight="1">
      <c r="A14" s="3" t="s">
        <v>175</v>
      </c>
      <c r="B14" s="4" t="s">
        <v>481</v>
      </c>
      <c r="C14" s="4" t="e">
        <f ca="1">_xludf.IMAGE(D14,"Škoda Superb",0)</f>
        <v>#NAME?</v>
      </c>
      <c r="D14" s="4" t="s">
        <v>182</v>
      </c>
      <c r="E14" s="4" t="s">
        <v>883</v>
      </c>
      <c r="F14" s="4" t="s">
        <v>862</v>
      </c>
      <c r="G14" s="4" t="s">
        <v>863</v>
      </c>
      <c r="H14" s="4" t="s">
        <v>864</v>
      </c>
      <c r="I14" s="4" t="s">
        <v>884</v>
      </c>
    </row>
    <row r="15" spans="1:9" ht="105" customHeight="1">
      <c r="A15" s="3" t="s">
        <v>185</v>
      </c>
      <c r="B15" s="4" t="s">
        <v>484</v>
      </c>
      <c r="C15" s="4" t="e">
        <f ca="1">_xludf.IMAGE(D15,"Hyundai Bayon",0)</f>
        <v>#NAME?</v>
      </c>
      <c r="D15" s="4" t="s">
        <v>191</v>
      </c>
      <c r="E15" s="4" t="s">
        <v>885</v>
      </c>
      <c r="F15" s="4" t="s">
        <v>862</v>
      </c>
      <c r="G15" s="4" t="s">
        <v>863</v>
      </c>
      <c r="H15" s="4" t="s">
        <v>864</v>
      </c>
      <c r="I15" s="4" t="s">
        <v>886</v>
      </c>
    </row>
    <row r="16" spans="1:9" ht="105" customHeight="1">
      <c r="A16" s="3" t="s">
        <v>194</v>
      </c>
      <c r="B16" s="4" t="s">
        <v>487</v>
      </c>
      <c r="C16" s="4" t="e">
        <f ca="1">_xludf.IMAGE(D16,"Volkswagen Taigo",0)</f>
        <v>#NAME?</v>
      </c>
      <c r="D16" s="4" t="s">
        <v>203</v>
      </c>
      <c r="E16" s="4" t="s">
        <v>887</v>
      </c>
      <c r="F16" s="4" t="s">
        <v>862</v>
      </c>
      <c r="G16" s="4" t="s">
        <v>863</v>
      </c>
      <c r="H16" s="4" t="s">
        <v>864</v>
      </c>
      <c r="I16" s="4" t="s">
        <v>888</v>
      </c>
    </row>
    <row r="17" spans="1:9" ht="105" customHeight="1">
      <c r="A17" s="3" t="s">
        <v>206</v>
      </c>
      <c r="B17" s="4" t="s">
        <v>490</v>
      </c>
      <c r="C17" s="4" t="e">
        <f ca="1">_xludf.IMAGE(D17,"Opel Frontera",0)</f>
        <v>#NAME?</v>
      </c>
      <c r="D17" s="4" t="s">
        <v>213</v>
      </c>
      <c r="E17" s="4" t="s">
        <v>889</v>
      </c>
      <c r="F17" s="4" t="s">
        <v>862</v>
      </c>
      <c r="G17" s="4" t="s">
        <v>863</v>
      </c>
      <c r="H17" s="4" t="s">
        <v>864</v>
      </c>
      <c r="I17" s="4" t="s">
        <v>890</v>
      </c>
    </row>
    <row r="18" spans="1:9" ht="105" customHeight="1">
      <c r="A18" s="3" t="s">
        <v>217</v>
      </c>
      <c r="B18" s="4" t="s">
        <v>493</v>
      </c>
      <c r="C18" s="4" t="e">
        <f ca="1">_xludf.IMAGE(D18,"Peugeot 2008",0)</f>
        <v>#NAME?</v>
      </c>
      <c r="D18" s="4" t="s">
        <v>226</v>
      </c>
      <c r="E18" s="4" t="s">
        <v>891</v>
      </c>
      <c r="F18" s="4" t="s">
        <v>862</v>
      </c>
      <c r="G18" s="4" t="s">
        <v>863</v>
      </c>
      <c r="H18" s="4" t="s">
        <v>892</v>
      </c>
      <c r="I18" s="4" t="s">
        <v>893</v>
      </c>
    </row>
    <row r="19" spans="1:9" ht="105" customHeight="1">
      <c r="A19" s="3" t="s">
        <v>229</v>
      </c>
      <c r="B19" s="4" t="s">
        <v>494</v>
      </c>
      <c r="C19" s="4" t="e">
        <f ca="1">_xludf.IMAGE(D19,"Renault Duster",0)</f>
        <v>#NAME?</v>
      </c>
      <c r="D19" s="4" t="s">
        <v>235</v>
      </c>
      <c r="E19" s="4" t="s">
        <v>894</v>
      </c>
      <c r="F19" s="4" t="s">
        <v>862</v>
      </c>
      <c r="G19" s="4" t="s">
        <v>863</v>
      </c>
      <c r="H19" s="4" t="s">
        <v>895</v>
      </c>
      <c r="I19" s="4" t="s">
        <v>896</v>
      </c>
    </row>
    <row r="20" spans="1:9" ht="105" customHeight="1">
      <c r="A20" s="3" t="s">
        <v>238</v>
      </c>
      <c r="B20" s="4" t="s">
        <v>498</v>
      </c>
      <c r="C20" s="4" t="e">
        <f ca="1">_xludf.IMAGE(D20,"Nissan Qashqai",0)</f>
        <v>#NAME?</v>
      </c>
      <c r="D20" s="4" t="s">
        <v>245</v>
      </c>
      <c r="E20" s="4" t="s">
        <v>897</v>
      </c>
      <c r="F20" s="4" t="s">
        <v>862</v>
      </c>
      <c r="G20" s="4" t="s">
        <v>863</v>
      </c>
      <c r="H20" s="4" t="s">
        <v>864</v>
      </c>
      <c r="I20" s="4" t="s">
        <v>898</v>
      </c>
    </row>
    <row r="21" spans="1:9" ht="105" customHeight="1">
      <c r="A21" s="3" t="s">
        <v>248</v>
      </c>
      <c r="B21" s="4" t="s">
        <v>501</v>
      </c>
      <c r="C21" s="4" t="e">
        <f ca="1">_xludf.IMAGE(D21,"Peugeot 3008",0)</f>
        <v>#NAME?</v>
      </c>
      <c r="D21" s="4" t="s">
        <v>254</v>
      </c>
      <c r="E21" s="4" t="s">
        <v>899</v>
      </c>
      <c r="F21" s="4" t="s">
        <v>862</v>
      </c>
      <c r="G21" s="4" t="s">
        <v>863</v>
      </c>
      <c r="H21" s="4" t="s">
        <v>864</v>
      </c>
      <c r="I21" s="4" t="s">
        <v>900</v>
      </c>
    </row>
    <row r="22" spans="1:9" ht="105" customHeight="1">
      <c r="A22" s="3" t="s">
        <v>257</v>
      </c>
      <c r="B22" s="4" t="s">
        <v>504</v>
      </c>
      <c r="C22" s="4" t="e">
        <f ca="1">_xludf.IMAGE(D22,"Volkswagen T-Roc",0)</f>
        <v>#NAME?</v>
      </c>
      <c r="D22" s="4" t="s">
        <v>263</v>
      </c>
      <c r="E22" s="4" t="s">
        <v>901</v>
      </c>
      <c r="F22" s="4" t="s">
        <v>862</v>
      </c>
      <c r="G22" s="4" t="s">
        <v>863</v>
      </c>
      <c r="H22" s="4" t="s">
        <v>864</v>
      </c>
      <c r="I22" s="4" t="s">
        <v>902</v>
      </c>
    </row>
    <row r="23" spans="1:9" ht="105" customHeight="1">
      <c r="A23" s="3" t="s">
        <v>266</v>
      </c>
      <c r="B23" s="4" t="s">
        <v>507</v>
      </c>
      <c r="C23" s="4" t="e">
        <f ca="1">_xludf.IMAGE(D23,"Renault Austral",0)</f>
        <v>#NAME?</v>
      </c>
      <c r="D23" s="4" t="s">
        <v>273</v>
      </c>
      <c r="E23" s="4" t="s">
        <v>903</v>
      </c>
      <c r="F23" s="4" t="s">
        <v>862</v>
      </c>
      <c r="G23" s="4" t="s">
        <v>863</v>
      </c>
      <c r="H23" s="4" t="s">
        <v>864</v>
      </c>
      <c r="I23" s="4" t="s">
        <v>904</v>
      </c>
    </row>
    <row r="24" spans="1:9" ht="105" customHeight="1">
      <c r="A24" s="3" t="s">
        <v>277</v>
      </c>
      <c r="B24" s="4" t="s">
        <v>510</v>
      </c>
      <c r="C24" s="4" t="e">
        <f ca="1">_xludf.IMAGE(D24,"Kia Sportage",0)</f>
        <v>#NAME?</v>
      </c>
      <c r="D24" s="4" t="s">
        <v>284</v>
      </c>
      <c r="E24" s="4" t="s">
        <v>905</v>
      </c>
      <c r="F24" s="4" t="s">
        <v>862</v>
      </c>
      <c r="G24" s="4" t="s">
        <v>863</v>
      </c>
      <c r="H24" s="4" t="s">
        <v>864</v>
      </c>
      <c r="I24" s="4" t="s">
        <v>906</v>
      </c>
    </row>
    <row r="25" spans="1:9" ht="105" customHeight="1">
      <c r="A25" s="3" t="s">
        <v>287</v>
      </c>
      <c r="B25" s="4" t="s">
        <v>513</v>
      </c>
      <c r="C25" s="4" t="e">
        <f ca="1">_xludf.IMAGE(D25,"Peugeot 408",0)</f>
        <v>#NAME?</v>
      </c>
      <c r="D25" s="4" t="s">
        <v>293</v>
      </c>
      <c r="E25" s="4" t="s">
        <v>907</v>
      </c>
      <c r="F25" s="4" t="s">
        <v>862</v>
      </c>
      <c r="G25" s="4" t="s">
        <v>863</v>
      </c>
      <c r="H25" s="4" t="s">
        <v>864</v>
      </c>
      <c r="I25" s="4" t="s">
        <v>908</v>
      </c>
    </row>
    <row r="26" spans="1:9" ht="105" customHeight="1">
      <c r="A26" s="3" t="s">
        <v>297</v>
      </c>
      <c r="B26" s="4" t="s">
        <v>516</v>
      </c>
      <c r="C26" s="4" t="e">
        <f ca="1">_xludf.IMAGE(D26,"Tesla Model Y",0)</f>
        <v>#NAME?</v>
      </c>
      <c r="D26" s="4" t="s">
        <v>306</v>
      </c>
      <c r="E26" s="4" t="s">
        <v>909</v>
      </c>
      <c r="F26" s="4" t="s">
        <v>862</v>
      </c>
      <c r="G26" s="4" t="s">
        <v>863</v>
      </c>
      <c r="H26" s="4" t="s">
        <v>910</v>
      </c>
      <c r="I26" s="4" t="s">
        <v>911</v>
      </c>
    </row>
    <row r="27" spans="1:9" ht="105" customHeight="1">
      <c r="A27" s="3" t="s">
        <v>310</v>
      </c>
      <c r="B27" s="4" t="s">
        <v>519</v>
      </c>
      <c r="C27" s="4" t="e">
        <f ca="1">_xludf.IMAGE(D27,"Kia EV3",0)</f>
        <v>#NAME?</v>
      </c>
      <c r="D27" s="4" t="s">
        <v>317</v>
      </c>
      <c r="E27" s="4" t="s">
        <v>912</v>
      </c>
      <c r="F27" s="4" t="s">
        <v>862</v>
      </c>
      <c r="G27" s="4" t="s">
        <v>863</v>
      </c>
      <c r="H27" s="4" t="s">
        <v>913</v>
      </c>
      <c r="I27" s="4" t="s">
        <v>914</v>
      </c>
    </row>
    <row r="28" spans="1:9" ht="105" customHeight="1">
      <c r="A28" s="3" t="s">
        <v>320</v>
      </c>
      <c r="B28" s="4" t="s">
        <v>522</v>
      </c>
      <c r="C28" s="4" t="e">
        <f ca="1">_xludf.IMAGE(D28,"BMW 320i Sedan",0)</f>
        <v>#NAME?</v>
      </c>
      <c r="D28" s="4" t="s">
        <v>329</v>
      </c>
      <c r="E28" s="4" t="s">
        <v>915</v>
      </c>
      <c r="F28" s="4" t="s">
        <v>862</v>
      </c>
      <c r="G28" s="4" t="s">
        <v>863</v>
      </c>
      <c r="H28" s="4" t="s">
        <v>864</v>
      </c>
      <c r="I28" s="4" t="s">
        <v>916</v>
      </c>
    </row>
    <row r="29" spans="1:9" ht="105" customHeight="1">
      <c r="A29" s="3" t="s">
        <v>332</v>
      </c>
      <c r="B29" s="4" t="s">
        <v>525</v>
      </c>
      <c r="C29" s="4" t="e">
        <f ca="1">_xludf.IMAGE(D29,"Fiat Doblo Cargo",0)</f>
        <v>#NAME?</v>
      </c>
      <c r="D29" s="4" t="s">
        <v>340</v>
      </c>
      <c r="E29" s="4" t="s">
        <v>917</v>
      </c>
      <c r="F29" s="4" t="s">
        <v>862</v>
      </c>
      <c r="G29" s="4" t="s">
        <v>863</v>
      </c>
      <c r="H29" s="4" t="s">
        <v>864</v>
      </c>
      <c r="I29" s="4" t="s">
        <v>918</v>
      </c>
    </row>
    <row r="30" spans="1:9" ht="105" customHeight="1">
      <c r="A30" s="3" t="s">
        <v>343</v>
      </c>
      <c r="B30" s="4" t="s">
        <v>528</v>
      </c>
      <c r="C30" s="4" t="e">
        <f ca="1">_xludf.IMAGE(D30,"Fiat Doblo Combi",0)</f>
        <v>#NAME?</v>
      </c>
      <c r="D30" s="4" t="s">
        <v>351</v>
      </c>
      <c r="E30" s="4" t="s">
        <v>919</v>
      </c>
      <c r="F30" s="4" t="s">
        <v>862</v>
      </c>
      <c r="G30" s="4" t="s">
        <v>863</v>
      </c>
      <c r="H30" s="4" t="s">
        <v>864</v>
      </c>
      <c r="I30" s="4" t="s">
        <v>920</v>
      </c>
    </row>
    <row r="31" spans="1:9" ht="105" customHeight="1">
      <c r="A31" s="3" t="s">
        <v>354</v>
      </c>
      <c r="B31" s="4" t="s">
        <v>531</v>
      </c>
      <c r="C31" s="4" t="e">
        <f ca="1">_xludf.IMAGE(D31,"Fiat Scudo Van",0)</f>
        <v>#NAME?</v>
      </c>
      <c r="D31" s="4" t="s">
        <v>361</v>
      </c>
      <c r="E31" s="4" t="s">
        <v>921</v>
      </c>
      <c r="F31" s="4" t="s">
        <v>862</v>
      </c>
      <c r="G31" s="4" t="s">
        <v>863</v>
      </c>
      <c r="H31" s="4" t="s">
        <v>864</v>
      </c>
      <c r="I31" s="4" t="s">
        <v>922</v>
      </c>
    </row>
    <row r="32" spans="1:9" ht="105" customHeight="1">
      <c r="A32" s="3" t="s">
        <v>364</v>
      </c>
      <c r="B32" s="4" t="s">
        <v>534</v>
      </c>
      <c r="C32" s="4" t="e">
        <f ca="1">_xludf.IMAGE(D32,"Ford Tourneo Courier",0)</f>
        <v>#NAME?</v>
      </c>
      <c r="D32" s="4" t="s">
        <v>372</v>
      </c>
      <c r="E32" s="4" t="s">
        <v>923</v>
      </c>
      <c r="F32" s="4" t="s">
        <v>862</v>
      </c>
      <c r="G32" s="4" t="s">
        <v>863</v>
      </c>
      <c r="H32" s="4" t="s">
        <v>864</v>
      </c>
      <c r="I32" s="4" t="s">
        <v>924</v>
      </c>
    </row>
    <row r="33" spans="1:9" ht="105" customHeight="1">
      <c r="A33" s="3" t="s">
        <v>375</v>
      </c>
      <c r="B33" s="4" t="s">
        <v>536</v>
      </c>
      <c r="C33" s="4" t="e">
        <f ca="1">_xludf.IMAGE(D33,"Ford Transit Custom Van",0)</f>
        <v>#NAME?</v>
      </c>
      <c r="D33" s="4" t="s">
        <v>382</v>
      </c>
      <c r="E33" s="4" t="s">
        <v>925</v>
      </c>
      <c r="F33" s="4" t="s">
        <v>862</v>
      </c>
      <c r="G33" s="4" t="s">
        <v>863</v>
      </c>
      <c r="H33" s="4" t="s">
        <v>864</v>
      </c>
      <c r="I33" s="4" t="s">
        <v>926</v>
      </c>
    </row>
    <row r="34" spans="1:9" ht="105" customHeight="1">
      <c r="A34" s="3" t="s">
        <v>385</v>
      </c>
      <c r="B34" s="4" t="s">
        <v>537</v>
      </c>
      <c r="C34" s="4" t="e">
        <f ca="1">_xludf.IMAGE(D34,"Ford Transit Van",0)</f>
        <v>#NAME?</v>
      </c>
      <c r="D34" s="4" t="s">
        <v>392</v>
      </c>
      <c r="E34" s="4" t="s">
        <v>927</v>
      </c>
      <c r="F34" s="4" t="s">
        <v>862</v>
      </c>
      <c r="G34" s="4" t="s">
        <v>863</v>
      </c>
      <c r="H34" s="4" t="s">
        <v>928</v>
      </c>
      <c r="I34" s="4" t="s">
        <v>929</v>
      </c>
    </row>
    <row r="35" spans="1:9" ht="105" customHeight="1">
      <c r="A35" s="3" t="s">
        <v>395</v>
      </c>
      <c r="B35" s="4" t="s">
        <v>540</v>
      </c>
      <c r="C35" s="4" t="e">
        <f ca="1">_xludf.IMAGE(D35,"Citroën Berlingo Van",0)</f>
        <v>#NAME?</v>
      </c>
      <c r="D35" s="4" t="s">
        <v>401</v>
      </c>
      <c r="E35" s="4" t="s">
        <v>930</v>
      </c>
      <c r="F35" s="4" t="s">
        <v>862</v>
      </c>
      <c r="G35" s="4" t="s">
        <v>863</v>
      </c>
      <c r="H35" s="4" t="s">
        <v>864</v>
      </c>
      <c r="I35" s="4" t="s">
        <v>931</v>
      </c>
    </row>
    <row r="36" spans="1:9" ht="105" customHeight="1">
      <c r="A36" s="3" t="s">
        <v>404</v>
      </c>
      <c r="B36" s="4" t="s">
        <v>542</v>
      </c>
      <c r="C36" s="4" t="e">
        <f ca="1">_xludf.IMAGE(D36,"Fiat Ducato Van",0)</f>
        <v>#NAME?</v>
      </c>
      <c r="D36" s="4" t="s">
        <v>410</v>
      </c>
      <c r="E36" s="4" t="s">
        <v>932</v>
      </c>
      <c r="F36" s="4" t="s">
        <v>862</v>
      </c>
      <c r="G36" s="4" t="s">
        <v>863</v>
      </c>
      <c r="H36" s="4" t="s">
        <v>864</v>
      </c>
      <c r="I36" s="4" t="s">
        <v>933</v>
      </c>
    </row>
  </sheetData>
  <mergeCells count="2">
    <mergeCell ref="A1:I2"/>
    <mergeCell ref="A3:I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workbookViewId="0">
      <selection sqref="A1:M2"/>
    </sheetView>
  </sheetViews>
  <sheetFormatPr defaultRowHeight="14.25"/>
  <cols>
    <col min="1" max="1" width="13" customWidth="1"/>
    <col min="2" max="2" width="42" customWidth="1"/>
    <col min="3" max="3" width="36" customWidth="1"/>
    <col min="4" max="6" width="48" customWidth="1"/>
    <col min="7" max="11" width="24" customWidth="1"/>
    <col min="12" max="12" width="40" customWidth="1"/>
    <col min="13" max="13" width="16" customWidth="1"/>
  </cols>
  <sheetData>
    <row r="1" spans="1:13">
      <c r="A1" s="13" t="s">
        <v>934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5">
      <c r="A3" s="20" t="s">
        <v>935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15">
      <c r="A4" s="5" t="s">
        <v>33</v>
      </c>
      <c r="B4" s="5" t="s">
        <v>57</v>
      </c>
      <c r="C4" s="5" t="s">
        <v>58</v>
      </c>
      <c r="D4" s="5" t="s">
        <v>936</v>
      </c>
      <c r="E4" s="5" t="s">
        <v>937</v>
      </c>
      <c r="F4" s="5" t="s">
        <v>938</v>
      </c>
      <c r="G4" s="5" t="s">
        <v>939</v>
      </c>
      <c r="H4" s="5" t="s">
        <v>940</v>
      </c>
      <c r="I4" s="5" t="s">
        <v>941</v>
      </c>
      <c r="J4" s="5" t="s">
        <v>942</v>
      </c>
      <c r="K4" s="5" t="s">
        <v>943</v>
      </c>
      <c r="L4" s="5" t="s">
        <v>59</v>
      </c>
      <c r="M4" s="5" t="s">
        <v>944</v>
      </c>
    </row>
    <row r="5" spans="1:13" ht="60">
      <c r="A5" s="3" t="s">
        <v>66</v>
      </c>
      <c r="B5" s="4" t="s">
        <v>75</v>
      </c>
      <c r="C5" s="4" t="s">
        <v>76</v>
      </c>
      <c r="D5" s="4" t="s">
        <v>945</v>
      </c>
      <c r="E5" s="4" t="s">
        <v>946</v>
      </c>
      <c r="F5" s="4" t="s">
        <v>947</v>
      </c>
      <c r="G5" s="4" t="s">
        <v>948</v>
      </c>
      <c r="H5" s="4" t="s">
        <v>949</v>
      </c>
      <c r="I5" s="4" t="s">
        <v>950</v>
      </c>
      <c r="J5" s="4" t="s">
        <v>951</v>
      </c>
      <c r="K5" s="4" t="s">
        <v>952</v>
      </c>
      <c r="L5" s="4" t="s">
        <v>77</v>
      </c>
      <c r="M5" s="4" t="s">
        <v>74</v>
      </c>
    </row>
    <row r="6" spans="1:13" ht="60">
      <c r="A6" s="3" t="s">
        <v>83</v>
      </c>
      <c r="B6" s="4" t="s">
        <v>88</v>
      </c>
      <c r="C6" s="4" t="s">
        <v>89</v>
      </c>
      <c r="D6" s="4" t="s">
        <v>953</v>
      </c>
      <c r="E6" s="4" t="s">
        <v>954</v>
      </c>
      <c r="F6" s="4" t="s">
        <v>955</v>
      </c>
      <c r="G6" s="4" t="s">
        <v>368</v>
      </c>
      <c r="H6" s="4" t="s">
        <v>956</v>
      </c>
      <c r="I6" s="4" t="s">
        <v>957</v>
      </c>
      <c r="J6" s="4" t="s">
        <v>958</v>
      </c>
      <c r="K6" s="4" t="s">
        <v>959</v>
      </c>
      <c r="L6" s="4" t="s">
        <v>90</v>
      </c>
      <c r="M6" s="4" t="s">
        <v>74</v>
      </c>
    </row>
    <row r="7" spans="1:13" ht="60">
      <c r="A7" s="3" t="s">
        <v>96</v>
      </c>
      <c r="B7" s="4" t="s">
        <v>103</v>
      </c>
      <c r="C7" s="4" t="s">
        <v>104</v>
      </c>
      <c r="D7" s="4" t="s">
        <v>960</v>
      </c>
      <c r="E7" s="4" t="s">
        <v>961</v>
      </c>
      <c r="F7" s="4" t="s">
        <v>962</v>
      </c>
      <c r="G7" s="4" t="s">
        <v>963</v>
      </c>
      <c r="H7" s="4" t="s">
        <v>964</v>
      </c>
      <c r="I7" s="4" t="s">
        <v>965</v>
      </c>
      <c r="J7" s="4" t="s">
        <v>966</v>
      </c>
      <c r="K7" s="4" t="s">
        <v>967</v>
      </c>
      <c r="L7" s="4" t="s">
        <v>105</v>
      </c>
      <c r="M7" s="4" t="s">
        <v>74</v>
      </c>
    </row>
    <row r="8" spans="1:13" ht="60">
      <c r="A8" s="3" t="s">
        <v>110</v>
      </c>
      <c r="B8" s="4" t="s">
        <v>116</v>
      </c>
      <c r="C8" s="4" t="s">
        <v>117</v>
      </c>
      <c r="D8" s="4" t="s">
        <v>968</v>
      </c>
      <c r="E8" s="4" t="s">
        <v>969</v>
      </c>
      <c r="F8" s="4" t="s">
        <v>970</v>
      </c>
      <c r="G8" s="4" t="s">
        <v>971</v>
      </c>
      <c r="H8" s="4" t="s">
        <v>972</v>
      </c>
      <c r="I8" s="4" t="s">
        <v>973</v>
      </c>
      <c r="J8" s="4" t="s">
        <v>974</v>
      </c>
      <c r="K8" s="4" t="s">
        <v>975</v>
      </c>
      <c r="L8" s="4" t="s">
        <v>118</v>
      </c>
      <c r="M8" s="4" t="s">
        <v>74</v>
      </c>
    </row>
    <row r="9" spans="1:13" ht="60">
      <c r="A9" s="3" t="s">
        <v>122</v>
      </c>
      <c r="B9" s="4" t="s">
        <v>128</v>
      </c>
      <c r="C9" s="4" t="s">
        <v>129</v>
      </c>
      <c r="D9" s="4" t="s">
        <v>976</v>
      </c>
      <c r="E9" s="4" t="s">
        <v>977</v>
      </c>
      <c r="F9" s="4" t="s">
        <v>978</v>
      </c>
      <c r="G9" s="4" t="s">
        <v>979</v>
      </c>
      <c r="H9" s="4" t="s">
        <v>980</v>
      </c>
      <c r="I9" s="4" t="s">
        <v>981</v>
      </c>
      <c r="J9" s="4" t="s">
        <v>982</v>
      </c>
      <c r="K9" s="4" t="s">
        <v>983</v>
      </c>
      <c r="L9" s="4" t="s">
        <v>130</v>
      </c>
      <c r="M9" s="4" t="s">
        <v>74</v>
      </c>
    </row>
    <row r="10" spans="1:13" ht="60">
      <c r="A10" s="3" t="s">
        <v>135</v>
      </c>
      <c r="B10" s="4" t="s">
        <v>140</v>
      </c>
      <c r="C10" s="4" t="s">
        <v>141</v>
      </c>
      <c r="D10" s="4" t="s">
        <v>984</v>
      </c>
      <c r="E10" s="4" t="s">
        <v>985</v>
      </c>
      <c r="F10" s="4" t="s">
        <v>986</v>
      </c>
      <c r="G10" s="4" t="s">
        <v>987</v>
      </c>
      <c r="H10" s="4" t="s">
        <v>988</v>
      </c>
      <c r="I10" s="4" t="s">
        <v>989</v>
      </c>
      <c r="J10" s="4" t="s">
        <v>990</v>
      </c>
      <c r="K10" s="4" t="s">
        <v>991</v>
      </c>
      <c r="L10" s="4" t="s">
        <v>142</v>
      </c>
      <c r="M10" s="4" t="s">
        <v>74</v>
      </c>
    </row>
    <row r="11" spans="1:13" ht="60">
      <c r="A11" s="3" t="s">
        <v>146</v>
      </c>
      <c r="B11" s="4" t="s">
        <v>150</v>
      </c>
      <c r="C11" s="4" t="s">
        <v>151</v>
      </c>
      <c r="D11" s="4" t="s">
        <v>992</v>
      </c>
      <c r="E11" s="4" t="s">
        <v>985</v>
      </c>
      <c r="F11" s="4" t="s">
        <v>993</v>
      </c>
      <c r="G11" s="4" t="s">
        <v>994</v>
      </c>
      <c r="H11" s="4" t="s">
        <v>995</v>
      </c>
      <c r="I11" s="4" t="s">
        <v>996</v>
      </c>
      <c r="J11" s="4" t="s">
        <v>997</v>
      </c>
      <c r="K11" s="4" t="s">
        <v>988</v>
      </c>
      <c r="L11" s="4" t="s">
        <v>152</v>
      </c>
      <c r="M11" s="4" t="s">
        <v>74</v>
      </c>
    </row>
    <row r="12" spans="1:13" ht="60">
      <c r="A12" s="3" t="s">
        <v>155</v>
      </c>
      <c r="B12" s="4" t="s">
        <v>159</v>
      </c>
      <c r="C12" s="4" t="s">
        <v>160</v>
      </c>
      <c r="D12" s="4" t="s">
        <v>998</v>
      </c>
      <c r="E12" s="4" t="s">
        <v>999</v>
      </c>
      <c r="F12" s="4" t="s">
        <v>1000</v>
      </c>
      <c r="G12" s="4" t="s">
        <v>1001</v>
      </c>
      <c r="H12" s="4" t="s">
        <v>1002</v>
      </c>
      <c r="I12" s="4" t="s">
        <v>1003</v>
      </c>
      <c r="J12" s="4" t="s">
        <v>1004</v>
      </c>
      <c r="K12" s="4" t="s">
        <v>1005</v>
      </c>
      <c r="L12" s="4" t="s">
        <v>161</v>
      </c>
      <c r="M12" s="4" t="s">
        <v>74</v>
      </c>
    </row>
    <row r="13" spans="1:13" ht="60">
      <c r="A13" s="3" t="s">
        <v>165</v>
      </c>
      <c r="B13" s="4" t="s">
        <v>169</v>
      </c>
      <c r="C13" s="4" t="s">
        <v>170</v>
      </c>
      <c r="D13" s="4" t="s">
        <v>1006</v>
      </c>
      <c r="E13" s="4" t="s">
        <v>1007</v>
      </c>
      <c r="F13" s="4" t="s">
        <v>1008</v>
      </c>
      <c r="G13" s="4" t="s">
        <v>1009</v>
      </c>
      <c r="H13" s="4" t="s">
        <v>1010</v>
      </c>
      <c r="I13" s="4" t="s">
        <v>979</v>
      </c>
      <c r="J13" s="4" t="s">
        <v>1011</v>
      </c>
      <c r="K13" s="4" t="s">
        <v>1012</v>
      </c>
      <c r="L13" s="4" t="s">
        <v>171</v>
      </c>
      <c r="M13" s="4" t="s">
        <v>74</v>
      </c>
    </row>
    <row r="14" spans="1:13" ht="60">
      <c r="A14" s="3" t="s">
        <v>175</v>
      </c>
      <c r="B14" s="4" t="s">
        <v>179</v>
      </c>
      <c r="C14" s="4" t="s">
        <v>180</v>
      </c>
      <c r="D14" s="4" t="s">
        <v>1013</v>
      </c>
      <c r="E14" s="4" t="s">
        <v>1014</v>
      </c>
      <c r="F14" s="4" t="s">
        <v>1015</v>
      </c>
      <c r="G14" s="4" t="s">
        <v>1016</v>
      </c>
      <c r="H14" s="4" t="s">
        <v>1017</v>
      </c>
      <c r="I14" s="4" t="s">
        <v>1010</v>
      </c>
      <c r="J14" s="4" t="s">
        <v>979</v>
      </c>
      <c r="K14" s="4" t="s">
        <v>1018</v>
      </c>
      <c r="L14" s="4" t="s">
        <v>181</v>
      </c>
      <c r="M14" s="4" t="s">
        <v>74</v>
      </c>
    </row>
    <row r="15" spans="1:13" ht="60">
      <c r="A15" s="3" t="s">
        <v>185</v>
      </c>
      <c r="B15" s="4" t="s">
        <v>188</v>
      </c>
      <c r="C15" s="4" t="s">
        <v>189</v>
      </c>
      <c r="D15" s="4" t="s">
        <v>1019</v>
      </c>
      <c r="E15" s="4" t="s">
        <v>1020</v>
      </c>
      <c r="F15" s="4" t="s">
        <v>1021</v>
      </c>
      <c r="G15" s="4" t="s">
        <v>1022</v>
      </c>
      <c r="H15" s="4" t="s">
        <v>1023</v>
      </c>
      <c r="I15" s="4" t="s">
        <v>1024</v>
      </c>
      <c r="J15" s="4" t="s">
        <v>1025</v>
      </c>
      <c r="K15" s="4" t="s">
        <v>1026</v>
      </c>
      <c r="L15" s="4" t="s">
        <v>190</v>
      </c>
      <c r="M15" s="4" t="s">
        <v>74</v>
      </c>
    </row>
    <row r="16" spans="1:13" ht="60">
      <c r="A16" s="3" t="s">
        <v>194</v>
      </c>
      <c r="B16" s="4" t="s">
        <v>200</v>
      </c>
      <c r="C16" s="4" t="s">
        <v>201</v>
      </c>
      <c r="D16" s="4" t="s">
        <v>1027</v>
      </c>
      <c r="E16" s="4" t="s">
        <v>1028</v>
      </c>
      <c r="F16" s="4" t="s">
        <v>1029</v>
      </c>
      <c r="G16" s="4" t="s">
        <v>1030</v>
      </c>
      <c r="H16" s="4" t="s">
        <v>199</v>
      </c>
      <c r="I16" s="4" t="s">
        <v>1031</v>
      </c>
      <c r="J16" s="4" t="s">
        <v>1032</v>
      </c>
      <c r="K16" s="4" t="s">
        <v>1033</v>
      </c>
      <c r="L16" s="4" t="s">
        <v>202</v>
      </c>
      <c r="M16" s="4" t="s">
        <v>74</v>
      </c>
    </row>
    <row r="17" spans="1:13" ht="60">
      <c r="A17" s="3" t="s">
        <v>206</v>
      </c>
      <c r="B17" s="4" t="s">
        <v>210</v>
      </c>
      <c r="C17" s="4" t="s">
        <v>211</v>
      </c>
      <c r="D17" s="4" t="s">
        <v>1034</v>
      </c>
      <c r="E17" s="4" t="s">
        <v>1035</v>
      </c>
      <c r="F17" s="4" t="s">
        <v>1036</v>
      </c>
      <c r="G17" s="4" t="s">
        <v>1037</v>
      </c>
      <c r="H17" s="4" t="s">
        <v>964</v>
      </c>
      <c r="I17" s="4" t="s">
        <v>1038</v>
      </c>
      <c r="J17" s="4" t="s">
        <v>1039</v>
      </c>
      <c r="K17" s="4" t="s">
        <v>980</v>
      </c>
      <c r="L17" s="4" t="s">
        <v>212</v>
      </c>
      <c r="M17" s="4" t="s">
        <v>74</v>
      </c>
    </row>
    <row r="18" spans="1:13" ht="60">
      <c r="A18" s="3" t="s">
        <v>217</v>
      </c>
      <c r="B18" s="4" t="s">
        <v>223</v>
      </c>
      <c r="C18" s="4" t="s">
        <v>224</v>
      </c>
      <c r="D18" s="4" t="s">
        <v>1040</v>
      </c>
      <c r="E18" s="4" t="s">
        <v>1041</v>
      </c>
      <c r="F18" s="4" t="s">
        <v>1042</v>
      </c>
      <c r="G18" s="4" t="s">
        <v>1037</v>
      </c>
      <c r="H18" s="4" t="s">
        <v>1043</v>
      </c>
      <c r="I18" s="4" t="s">
        <v>1044</v>
      </c>
      <c r="J18" s="4" t="s">
        <v>1045</v>
      </c>
      <c r="K18" s="4" t="s">
        <v>1046</v>
      </c>
      <c r="L18" s="4" t="s">
        <v>225</v>
      </c>
      <c r="M18" s="4" t="s">
        <v>74</v>
      </c>
    </row>
    <row r="19" spans="1:13" ht="60">
      <c r="A19" s="3" t="s">
        <v>229</v>
      </c>
      <c r="B19" s="4" t="s">
        <v>232</v>
      </c>
      <c r="C19" s="4" t="s">
        <v>233</v>
      </c>
      <c r="D19" s="4" t="s">
        <v>1047</v>
      </c>
      <c r="E19" s="4" t="s">
        <v>1048</v>
      </c>
      <c r="F19" s="4" t="s">
        <v>1049</v>
      </c>
      <c r="G19" s="4" t="s">
        <v>1050</v>
      </c>
      <c r="H19" s="4" t="s">
        <v>1051</v>
      </c>
      <c r="I19" s="4" t="s">
        <v>1052</v>
      </c>
      <c r="J19" s="4" t="s">
        <v>1053</v>
      </c>
      <c r="K19" s="4" t="s">
        <v>1054</v>
      </c>
      <c r="L19" s="4" t="s">
        <v>234</v>
      </c>
      <c r="M19" s="4" t="s">
        <v>74</v>
      </c>
    </row>
    <row r="20" spans="1:13" ht="60">
      <c r="A20" s="3" t="s">
        <v>238</v>
      </c>
      <c r="B20" s="4" t="s">
        <v>242</v>
      </c>
      <c r="C20" s="4" t="s">
        <v>243</v>
      </c>
      <c r="D20" s="4" t="s">
        <v>1055</v>
      </c>
      <c r="E20" s="4" t="s">
        <v>1056</v>
      </c>
      <c r="F20" s="4" t="s">
        <v>1057</v>
      </c>
      <c r="G20" s="4" t="s">
        <v>1058</v>
      </c>
      <c r="H20" s="4" t="s">
        <v>1059</v>
      </c>
      <c r="I20" s="4" t="s">
        <v>1060</v>
      </c>
      <c r="J20" s="4" t="s">
        <v>1061</v>
      </c>
      <c r="K20" s="4" t="s">
        <v>1062</v>
      </c>
      <c r="L20" s="4" t="s">
        <v>244</v>
      </c>
      <c r="M20" s="4" t="s">
        <v>74</v>
      </c>
    </row>
    <row r="21" spans="1:13" ht="60">
      <c r="A21" s="3" t="s">
        <v>248</v>
      </c>
      <c r="B21" s="4" t="s">
        <v>251</v>
      </c>
      <c r="C21" s="4" t="s">
        <v>252</v>
      </c>
      <c r="D21" s="4" t="s">
        <v>1063</v>
      </c>
      <c r="E21" s="4" t="s">
        <v>1064</v>
      </c>
      <c r="F21" s="4" t="s">
        <v>1065</v>
      </c>
      <c r="G21" s="4" t="s">
        <v>1037</v>
      </c>
      <c r="H21" s="4" t="s">
        <v>973</v>
      </c>
      <c r="I21" s="4" t="s">
        <v>1066</v>
      </c>
      <c r="J21" s="4" t="s">
        <v>1043</v>
      </c>
      <c r="K21" s="4" t="s">
        <v>1067</v>
      </c>
      <c r="L21" s="4" t="s">
        <v>253</v>
      </c>
      <c r="M21" s="4" t="s">
        <v>74</v>
      </c>
    </row>
    <row r="22" spans="1:13" ht="60">
      <c r="A22" s="3" t="s">
        <v>257</v>
      </c>
      <c r="B22" s="4" t="s">
        <v>260</v>
      </c>
      <c r="C22" s="4" t="s">
        <v>261</v>
      </c>
      <c r="D22" s="4" t="s">
        <v>1068</v>
      </c>
      <c r="E22" s="4" t="s">
        <v>1069</v>
      </c>
      <c r="F22" s="4" t="s">
        <v>1070</v>
      </c>
      <c r="G22" s="4" t="s">
        <v>1071</v>
      </c>
      <c r="H22" s="4" t="s">
        <v>979</v>
      </c>
      <c r="I22" s="4" t="s">
        <v>1072</v>
      </c>
      <c r="J22" s="4" t="s">
        <v>1073</v>
      </c>
      <c r="K22" s="4" t="s">
        <v>1074</v>
      </c>
      <c r="L22" s="4" t="s">
        <v>262</v>
      </c>
      <c r="M22" s="4" t="s">
        <v>74</v>
      </c>
    </row>
    <row r="23" spans="1:13" ht="60">
      <c r="A23" s="3" t="s">
        <v>266</v>
      </c>
      <c r="B23" s="4" t="s">
        <v>270</v>
      </c>
      <c r="C23" s="4" t="s">
        <v>271</v>
      </c>
      <c r="D23" s="4" t="s">
        <v>1075</v>
      </c>
      <c r="E23" s="4" t="s">
        <v>1076</v>
      </c>
      <c r="F23" s="4" t="s">
        <v>1077</v>
      </c>
      <c r="G23" s="4" t="s">
        <v>1078</v>
      </c>
      <c r="H23" s="4" t="s">
        <v>1079</v>
      </c>
      <c r="I23" s="4" t="s">
        <v>1080</v>
      </c>
      <c r="J23" s="4" t="s">
        <v>1081</v>
      </c>
      <c r="K23" s="4" t="s">
        <v>1061</v>
      </c>
      <c r="L23" s="4" t="s">
        <v>272</v>
      </c>
      <c r="M23" s="4" t="s">
        <v>74</v>
      </c>
    </row>
    <row r="24" spans="1:13" ht="60">
      <c r="A24" s="3" t="s">
        <v>277</v>
      </c>
      <c r="B24" s="4" t="s">
        <v>281</v>
      </c>
      <c r="C24" s="4" t="s">
        <v>282</v>
      </c>
      <c r="D24" s="4" t="s">
        <v>1082</v>
      </c>
      <c r="E24" s="4" t="s">
        <v>1083</v>
      </c>
      <c r="F24" s="4" t="s">
        <v>1084</v>
      </c>
      <c r="G24" s="4" t="s">
        <v>1085</v>
      </c>
      <c r="H24" s="4" t="s">
        <v>1086</v>
      </c>
      <c r="I24" s="4" t="s">
        <v>1087</v>
      </c>
      <c r="J24" s="4" t="s">
        <v>1088</v>
      </c>
      <c r="K24" s="4" t="s">
        <v>1089</v>
      </c>
      <c r="L24" s="4" t="s">
        <v>283</v>
      </c>
      <c r="M24" s="4" t="s">
        <v>74</v>
      </c>
    </row>
    <row r="25" spans="1:13" ht="60">
      <c r="A25" s="3" t="s">
        <v>287</v>
      </c>
      <c r="B25" s="4" t="s">
        <v>290</v>
      </c>
      <c r="C25" s="4" t="s">
        <v>291</v>
      </c>
      <c r="D25" s="4" t="s">
        <v>1090</v>
      </c>
      <c r="E25" s="4" t="s">
        <v>1091</v>
      </c>
      <c r="F25" s="4" t="s">
        <v>1092</v>
      </c>
      <c r="G25" s="4" t="s">
        <v>1093</v>
      </c>
      <c r="H25" s="4" t="s">
        <v>1037</v>
      </c>
      <c r="I25" s="4" t="s">
        <v>1094</v>
      </c>
      <c r="J25" s="4" t="s">
        <v>1043</v>
      </c>
      <c r="K25" s="4" t="s">
        <v>1095</v>
      </c>
      <c r="L25" s="4" t="s">
        <v>292</v>
      </c>
      <c r="M25" s="4" t="s">
        <v>74</v>
      </c>
    </row>
    <row r="26" spans="1:13" ht="60">
      <c r="A26" s="3" t="s">
        <v>297</v>
      </c>
      <c r="B26" s="4" t="s">
        <v>303</v>
      </c>
      <c r="C26" s="4" t="s">
        <v>304</v>
      </c>
      <c r="D26" s="4" t="s">
        <v>1096</v>
      </c>
      <c r="E26" s="4" t="s">
        <v>1097</v>
      </c>
      <c r="F26" s="4" t="s">
        <v>1098</v>
      </c>
      <c r="G26" s="4" t="s">
        <v>1099</v>
      </c>
      <c r="H26" s="4" t="s">
        <v>300</v>
      </c>
      <c r="I26" s="4" t="s">
        <v>1100</v>
      </c>
      <c r="J26" s="4" t="s">
        <v>1101</v>
      </c>
      <c r="K26" s="4" t="s">
        <v>1102</v>
      </c>
      <c r="L26" s="4" t="s">
        <v>305</v>
      </c>
      <c r="M26" s="4" t="s">
        <v>74</v>
      </c>
    </row>
    <row r="27" spans="1:13" ht="60">
      <c r="A27" s="3" t="s">
        <v>310</v>
      </c>
      <c r="B27" s="4" t="s">
        <v>314</v>
      </c>
      <c r="C27" s="4" t="s">
        <v>315</v>
      </c>
      <c r="D27" s="4" t="s">
        <v>1103</v>
      </c>
      <c r="E27" s="4" t="s">
        <v>1104</v>
      </c>
      <c r="F27" s="4" t="s">
        <v>1105</v>
      </c>
      <c r="G27" s="4" t="s">
        <v>1106</v>
      </c>
      <c r="H27" s="4" t="s">
        <v>1107</v>
      </c>
      <c r="I27" s="4" t="s">
        <v>1108</v>
      </c>
      <c r="J27" s="4" t="s">
        <v>1038</v>
      </c>
      <c r="K27" s="4" t="s">
        <v>1109</v>
      </c>
      <c r="L27" s="4" t="s">
        <v>316</v>
      </c>
      <c r="M27" s="4" t="s">
        <v>74</v>
      </c>
    </row>
    <row r="28" spans="1:13" ht="45">
      <c r="A28" s="3" t="s">
        <v>320</v>
      </c>
      <c r="B28" s="4" t="s">
        <v>326</v>
      </c>
      <c r="C28" s="4" t="s">
        <v>327</v>
      </c>
      <c r="D28" s="4" t="s">
        <v>1110</v>
      </c>
      <c r="E28" s="4" t="s">
        <v>1111</v>
      </c>
      <c r="F28" s="4" t="s">
        <v>1112</v>
      </c>
      <c r="G28" s="4" t="s">
        <v>1113</v>
      </c>
      <c r="H28" s="4" t="s">
        <v>1114</v>
      </c>
      <c r="I28" s="4" t="s">
        <v>435</v>
      </c>
      <c r="J28" s="4" t="s">
        <v>1115</v>
      </c>
      <c r="K28" s="4" t="s">
        <v>1116</v>
      </c>
      <c r="L28" s="4" t="s">
        <v>328</v>
      </c>
      <c r="M28" s="4" t="s">
        <v>74</v>
      </c>
    </row>
    <row r="29" spans="1:13" ht="60">
      <c r="A29" s="3" t="s">
        <v>332</v>
      </c>
      <c r="B29" s="4" t="s">
        <v>337</v>
      </c>
      <c r="C29" s="4" t="s">
        <v>338</v>
      </c>
      <c r="D29" s="4" t="s">
        <v>1117</v>
      </c>
      <c r="E29" s="4" t="s">
        <v>1118</v>
      </c>
      <c r="F29" s="4" t="s">
        <v>1119</v>
      </c>
      <c r="G29" s="4" t="s">
        <v>1120</v>
      </c>
      <c r="H29" s="4" t="s">
        <v>1121</v>
      </c>
      <c r="I29" s="4" t="s">
        <v>1122</v>
      </c>
      <c r="J29" s="4" t="s">
        <v>1123</v>
      </c>
      <c r="K29" s="4" t="s">
        <v>1124</v>
      </c>
      <c r="L29" s="4" t="s">
        <v>339</v>
      </c>
      <c r="M29" s="4" t="s">
        <v>74</v>
      </c>
    </row>
    <row r="30" spans="1:13" ht="60">
      <c r="A30" s="3" t="s">
        <v>343</v>
      </c>
      <c r="B30" s="4" t="s">
        <v>348</v>
      </c>
      <c r="C30" s="4" t="s">
        <v>349</v>
      </c>
      <c r="D30" s="4" t="s">
        <v>1125</v>
      </c>
      <c r="E30" s="4" t="s">
        <v>1126</v>
      </c>
      <c r="F30" s="4" t="s">
        <v>1127</v>
      </c>
      <c r="G30" s="4" t="s">
        <v>971</v>
      </c>
      <c r="H30" s="4" t="s">
        <v>1128</v>
      </c>
      <c r="I30" s="4" t="s">
        <v>1129</v>
      </c>
      <c r="J30" s="4" t="s">
        <v>1130</v>
      </c>
      <c r="K30" s="4" t="s">
        <v>1131</v>
      </c>
      <c r="L30" s="4" t="s">
        <v>350</v>
      </c>
      <c r="M30" s="4" t="s">
        <v>74</v>
      </c>
    </row>
    <row r="31" spans="1:13" ht="60">
      <c r="A31" s="3" t="s">
        <v>354</v>
      </c>
      <c r="B31" s="4" t="s">
        <v>358</v>
      </c>
      <c r="C31" s="4" t="s">
        <v>359</v>
      </c>
      <c r="D31" s="4" t="s">
        <v>1132</v>
      </c>
      <c r="E31" s="4" t="s">
        <v>1133</v>
      </c>
      <c r="F31" s="4" t="s">
        <v>1134</v>
      </c>
      <c r="G31" s="4" t="s">
        <v>1135</v>
      </c>
      <c r="H31" s="4" t="s">
        <v>1136</v>
      </c>
      <c r="I31" s="4" t="s">
        <v>1137</v>
      </c>
      <c r="J31" s="4" t="s">
        <v>1138</v>
      </c>
      <c r="K31" s="4" t="s">
        <v>1139</v>
      </c>
      <c r="L31" s="4" t="s">
        <v>360</v>
      </c>
      <c r="M31" s="4" t="s">
        <v>74</v>
      </c>
    </row>
    <row r="32" spans="1:13" ht="60">
      <c r="A32" s="3" t="s">
        <v>364</v>
      </c>
      <c r="B32" s="4" t="s">
        <v>369</v>
      </c>
      <c r="C32" s="4" t="s">
        <v>370</v>
      </c>
      <c r="D32" s="4" t="s">
        <v>1140</v>
      </c>
      <c r="E32" s="4" t="s">
        <v>1141</v>
      </c>
      <c r="F32" s="4" t="s">
        <v>1142</v>
      </c>
      <c r="G32" s="4" t="s">
        <v>1143</v>
      </c>
      <c r="H32" s="4" t="s">
        <v>1022</v>
      </c>
      <c r="I32" s="4" t="s">
        <v>1129</v>
      </c>
      <c r="J32" s="4" t="s">
        <v>1144</v>
      </c>
      <c r="K32" s="4" t="s">
        <v>1145</v>
      </c>
      <c r="L32" s="4" t="s">
        <v>371</v>
      </c>
      <c r="M32" s="4" t="s">
        <v>74</v>
      </c>
    </row>
    <row r="33" spans="1:13" ht="60">
      <c r="A33" s="3" t="s">
        <v>375</v>
      </c>
      <c r="B33" s="4" t="s">
        <v>379</v>
      </c>
      <c r="C33" s="4" t="s">
        <v>380</v>
      </c>
      <c r="D33" s="4" t="s">
        <v>1146</v>
      </c>
      <c r="E33" s="4" t="s">
        <v>1147</v>
      </c>
      <c r="F33" s="4" t="s">
        <v>1148</v>
      </c>
      <c r="G33" s="4" t="s">
        <v>1149</v>
      </c>
      <c r="H33" s="4" t="s">
        <v>1150</v>
      </c>
      <c r="I33" s="4" t="s">
        <v>1151</v>
      </c>
      <c r="J33" s="4" t="s">
        <v>1138</v>
      </c>
      <c r="K33" s="4" t="s">
        <v>1152</v>
      </c>
      <c r="L33" s="4" t="s">
        <v>381</v>
      </c>
      <c r="M33" s="4" t="s">
        <v>74</v>
      </c>
    </row>
    <row r="34" spans="1:13" ht="60">
      <c r="A34" s="3" t="s">
        <v>385</v>
      </c>
      <c r="B34" s="4" t="s">
        <v>389</v>
      </c>
      <c r="C34" s="4" t="s">
        <v>390</v>
      </c>
      <c r="D34" s="4" t="s">
        <v>1153</v>
      </c>
      <c r="E34" s="4" t="s">
        <v>1154</v>
      </c>
      <c r="F34" s="4" t="s">
        <v>1155</v>
      </c>
      <c r="G34" s="4" t="s">
        <v>1156</v>
      </c>
      <c r="H34" s="4" t="s">
        <v>1157</v>
      </c>
      <c r="I34" s="4" t="s">
        <v>1158</v>
      </c>
      <c r="J34" s="4" t="s">
        <v>1138</v>
      </c>
      <c r="K34" s="4" t="s">
        <v>1159</v>
      </c>
      <c r="L34" s="4" t="s">
        <v>391</v>
      </c>
      <c r="M34" s="4" t="s">
        <v>74</v>
      </c>
    </row>
    <row r="35" spans="1:13" ht="60">
      <c r="A35" s="3" t="s">
        <v>395</v>
      </c>
      <c r="B35" s="4" t="s">
        <v>398</v>
      </c>
      <c r="C35" s="4" t="s">
        <v>399</v>
      </c>
      <c r="D35" s="4" t="s">
        <v>1160</v>
      </c>
      <c r="E35" s="4" t="s">
        <v>1161</v>
      </c>
      <c r="F35" s="4" t="s">
        <v>1162</v>
      </c>
      <c r="G35" s="4" t="s">
        <v>1163</v>
      </c>
      <c r="H35" s="4" t="s">
        <v>1164</v>
      </c>
      <c r="I35" s="4" t="s">
        <v>1165</v>
      </c>
      <c r="J35" s="4" t="s">
        <v>1122</v>
      </c>
      <c r="K35" s="4" t="s">
        <v>1166</v>
      </c>
      <c r="L35" s="4" t="s">
        <v>400</v>
      </c>
      <c r="M35" s="4" t="s">
        <v>74</v>
      </c>
    </row>
    <row r="36" spans="1:13" ht="60">
      <c r="A36" s="3" t="s">
        <v>404</v>
      </c>
      <c r="B36" s="4" t="s">
        <v>407</v>
      </c>
      <c r="C36" s="4" t="s">
        <v>408</v>
      </c>
      <c r="D36" s="4" t="s">
        <v>1167</v>
      </c>
      <c r="E36" s="4" t="s">
        <v>1168</v>
      </c>
      <c r="F36" s="4" t="s">
        <v>1169</v>
      </c>
      <c r="G36" s="4" t="s">
        <v>1170</v>
      </c>
      <c r="H36" s="4" t="s">
        <v>1171</v>
      </c>
      <c r="I36" s="4" t="s">
        <v>1172</v>
      </c>
      <c r="J36" s="4" t="s">
        <v>1173</v>
      </c>
      <c r="K36" s="4" t="s">
        <v>1174</v>
      </c>
      <c r="L36" s="4" t="s">
        <v>409</v>
      </c>
      <c r="M36" s="4" t="s">
        <v>74</v>
      </c>
    </row>
  </sheetData>
  <mergeCells count="2">
    <mergeCell ref="A1:M2"/>
    <mergeCell ref="A3:M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Özet</vt:lpstr>
      <vt:lpstr>Portföy_32</vt:lpstr>
      <vt:lpstr>Teknik_Detay</vt:lpstr>
      <vt:lpstr>Benchmark</vt:lpstr>
      <vt:lpstr>Benchmark_Ham</vt:lpstr>
      <vt:lpstr>Görseller</vt:lpstr>
      <vt:lpstr>İlan_Metinleri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murat ayar</cp:lastModifiedBy>
  <dcterms:created xsi:type="dcterms:W3CDTF">2026-08-13T19:02:48Z</dcterms:created>
  <dcterms:modified xsi:type="dcterms:W3CDTF">2026-08-13T19:02:48Z</dcterms:modified>
</cp:coreProperties>
</file>